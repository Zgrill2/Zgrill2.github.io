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ddolgov001/Downloads/"/>
    </mc:Choice>
  </mc:AlternateContent>
  <xr:revisionPtr revIDLastSave="0" documentId="13_ncr:1_{D22FE179-7AE4-0D4B-8146-03399D7AB9C7}" xr6:coauthVersionLast="47" xr6:coauthVersionMax="47" xr10:uidLastSave="{00000000-0000-0000-0000-000000000000}"/>
  <bookViews>
    <workbookView xWindow="0" yWindow="680" windowWidth="30240" windowHeight="18960" xr2:uid="{00000000-000D-0000-FFFF-FFFF00000000}"/>
  </bookViews>
  <sheets>
    <sheet name="Abilities" sheetId="1" r:id="rId1"/>
    <sheet name="NCT" sheetId="18" r:id="rId2"/>
    <sheet name="Iobia" sheetId="53" r:id="rId3"/>
  </sheets>
  <externalReferences>
    <externalReference r:id="rId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25" i="53" l="1"/>
  <c r="K125" i="53"/>
  <c r="J125" i="53"/>
  <c r="G125" i="53"/>
  <c r="L124" i="53"/>
  <c r="K124" i="53"/>
  <c r="J124" i="53"/>
  <c r="G124" i="53"/>
  <c r="L123" i="53"/>
  <c r="K123" i="53"/>
  <c r="J123" i="53"/>
  <c r="G123" i="53"/>
  <c r="L122" i="53"/>
  <c r="K122" i="53"/>
  <c r="J122" i="53"/>
  <c r="G122" i="53"/>
  <c r="L121" i="53"/>
  <c r="K121" i="53"/>
  <c r="J121" i="53"/>
  <c r="G121" i="53"/>
  <c r="L120" i="53"/>
  <c r="K120" i="53"/>
  <c r="J120" i="53"/>
  <c r="G120" i="53"/>
  <c r="L119" i="53"/>
  <c r="K119" i="53"/>
  <c r="J119" i="53"/>
  <c r="G119" i="53"/>
  <c r="L118" i="53"/>
  <c r="K118" i="53"/>
  <c r="J118" i="53"/>
  <c r="G118" i="53"/>
  <c r="L117" i="53"/>
  <c r="K117" i="53"/>
  <c r="J117" i="53"/>
  <c r="G117" i="53"/>
  <c r="L116" i="53"/>
  <c r="K116" i="53"/>
  <c r="J116" i="53"/>
  <c r="G116" i="53"/>
  <c r="L115" i="53"/>
  <c r="K115" i="53"/>
  <c r="J115" i="53"/>
  <c r="G115" i="53"/>
  <c r="L114" i="53"/>
  <c r="K114" i="53"/>
  <c r="J114" i="53"/>
  <c r="G114" i="53"/>
  <c r="L113" i="53"/>
  <c r="K113" i="53"/>
  <c r="J113" i="53"/>
  <c r="G113" i="53"/>
  <c r="L112" i="53"/>
  <c r="K112" i="53"/>
  <c r="J112" i="53"/>
  <c r="G112" i="53"/>
  <c r="L111" i="53"/>
  <c r="K111" i="53"/>
  <c r="J111" i="53"/>
  <c r="G111" i="53"/>
  <c r="L110" i="53"/>
  <c r="K110" i="53"/>
  <c r="J110" i="53"/>
  <c r="G110" i="53"/>
  <c r="L109" i="53"/>
  <c r="K109" i="53"/>
  <c r="J109" i="53"/>
  <c r="G109" i="53"/>
  <c r="L108" i="53"/>
  <c r="K108" i="53"/>
  <c r="J108" i="53"/>
  <c r="G108" i="53"/>
  <c r="L107" i="53"/>
  <c r="K107" i="53"/>
  <c r="J107" i="53"/>
  <c r="G107" i="53"/>
  <c r="L106" i="53"/>
  <c r="K106" i="53"/>
  <c r="J106" i="53"/>
  <c r="G106" i="53"/>
  <c r="L105" i="53"/>
  <c r="K105" i="53"/>
  <c r="J105" i="53"/>
  <c r="G105" i="53"/>
  <c r="L104" i="53"/>
  <c r="K104" i="53"/>
  <c r="J104" i="53"/>
  <c r="G104" i="53"/>
  <c r="L103" i="53"/>
  <c r="K103" i="53"/>
  <c r="J103" i="53"/>
  <c r="G103" i="53"/>
  <c r="L102" i="53"/>
  <c r="K102" i="53"/>
  <c r="J102" i="53"/>
  <c r="G102" i="53"/>
  <c r="L101" i="53"/>
  <c r="K101" i="53"/>
  <c r="J101" i="53"/>
  <c r="G101" i="53"/>
  <c r="L100" i="53"/>
  <c r="K100" i="53"/>
  <c r="J100" i="53"/>
  <c r="G100" i="53"/>
  <c r="L99" i="53"/>
  <c r="K99" i="53"/>
  <c r="J99" i="53"/>
  <c r="G99" i="53"/>
  <c r="L98" i="53"/>
  <c r="K98" i="53"/>
  <c r="J98" i="53"/>
  <c r="G98" i="53"/>
  <c r="L97" i="53"/>
  <c r="K97" i="53"/>
  <c r="J97" i="53"/>
  <c r="G97" i="53"/>
  <c r="L96" i="53"/>
  <c r="K96" i="53"/>
  <c r="J96" i="53"/>
  <c r="G96" i="53"/>
  <c r="L95" i="53"/>
  <c r="K95" i="53"/>
  <c r="J95" i="53"/>
  <c r="G95" i="53"/>
  <c r="L94" i="53"/>
  <c r="K94" i="53"/>
  <c r="J94" i="53"/>
  <c r="G94" i="53"/>
  <c r="L93" i="53"/>
  <c r="K93" i="53"/>
  <c r="J93" i="53"/>
  <c r="G93" i="53"/>
  <c r="L92" i="53"/>
  <c r="K92" i="53"/>
  <c r="J92" i="53"/>
  <c r="G92" i="53"/>
  <c r="L91" i="53"/>
  <c r="K91" i="53"/>
  <c r="J91" i="53"/>
  <c r="G91" i="53"/>
  <c r="L90" i="53"/>
  <c r="K90" i="53"/>
  <c r="J90" i="53"/>
  <c r="G90" i="53"/>
  <c r="L89" i="53"/>
  <c r="K89" i="53"/>
  <c r="J89" i="53"/>
  <c r="G89" i="53"/>
  <c r="L88" i="53"/>
  <c r="K88" i="53"/>
  <c r="J88" i="53"/>
  <c r="G88" i="53"/>
  <c r="L87" i="53"/>
  <c r="K87" i="53"/>
  <c r="J87" i="53"/>
  <c r="G87" i="53"/>
  <c r="L86" i="53"/>
  <c r="K86" i="53"/>
  <c r="J86" i="53"/>
  <c r="G86" i="53"/>
  <c r="L85" i="53"/>
  <c r="K85" i="53"/>
  <c r="J85" i="53"/>
  <c r="G85" i="53"/>
  <c r="L84" i="53"/>
  <c r="K84" i="53"/>
  <c r="J84" i="53"/>
  <c r="G84" i="53"/>
  <c r="L83" i="53"/>
  <c r="K83" i="53"/>
  <c r="J83" i="53"/>
  <c r="G83" i="53"/>
  <c r="L82" i="53"/>
  <c r="K82" i="53"/>
  <c r="J82" i="53"/>
  <c r="G82" i="53"/>
  <c r="L81" i="53"/>
  <c r="K81" i="53"/>
  <c r="J81" i="53"/>
  <c r="G81" i="53"/>
  <c r="L80" i="53"/>
  <c r="K80" i="53"/>
  <c r="J80" i="53"/>
  <c r="G80" i="53"/>
  <c r="L79" i="53"/>
  <c r="K79" i="53"/>
  <c r="J79" i="53"/>
  <c r="G79" i="53"/>
  <c r="L78" i="53"/>
  <c r="K78" i="53"/>
  <c r="J78" i="53"/>
  <c r="G78" i="53"/>
  <c r="L77" i="53"/>
  <c r="K77" i="53"/>
  <c r="J77" i="53"/>
  <c r="G77" i="53"/>
  <c r="L76" i="53"/>
  <c r="K76" i="53"/>
  <c r="J76" i="53"/>
  <c r="G76" i="53"/>
  <c r="L75" i="53"/>
  <c r="K75" i="53"/>
  <c r="J75" i="53"/>
  <c r="G75" i="53"/>
  <c r="L74" i="53"/>
  <c r="K74" i="53"/>
  <c r="J74" i="53"/>
  <c r="G74" i="53"/>
  <c r="L73" i="53"/>
  <c r="K73" i="53"/>
  <c r="J73" i="53"/>
  <c r="G73" i="53"/>
  <c r="L72" i="53"/>
  <c r="K72" i="53"/>
  <c r="J72" i="53"/>
  <c r="G72" i="53"/>
  <c r="L71" i="53"/>
  <c r="K71" i="53"/>
  <c r="J71" i="53"/>
  <c r="G71" i="53"/>
  <c r="L70" i="53"/>
  <c r="K70" i="53"/>
  <c r="J70" i="53"/>
  <c r="G70" i="53"/>
  <c r="L69" i="53"/>
  <c r="K69" i="53"/>
  <c r="J69" i="53"/>
  <c r="G69" i="53"/>
  <c r="L68" i="53"/>
  <c r="K68" i="53"/>
  <c r="J68" i="53"/>
  <c r="G68" i="53"/>
  <c r="L67" i="53"/>
  <c r="K67" i="53"/>
  <c r="J67" i="53"/>
  <c r="G67" i="53"/>
  <c r="L66" i="53"/>
  <c r="K66" i="53"/>
  <c r="J66" i="53"/>
  <c r="G66" i="53"/>
  <c r="L65" i="53"/>
  <c r="K65" i="53"/>
  <c r="J65" i="53"/>
  <c r="G65" i="53"/>
  <c r="L64" i="53"/>
  <c r="K64" i="53"/>
  <c r="J64" i="53"/>
  <c r="G64" i="53"/>
  <c r="L63" i="53"/>
  <c r="K63" i="53"/>
  <c r="J63" i="53"/>
  <c r="G63" i="53"/>
  <c r="L62" i="53"/>
  <c r="K62" i="53"/>
  <c r="J62" i="53"/>
  <c r="G62" i="53"/>
  <c r="L61" i="53"/>
  <c r="K61" i="53"/>
  <c r="J61" i="53"/>
  <c r="G61" i="53"/>
  <c r="L60" i="53"/>
  <c r="K60" i="53"/>
  <c r="J60" i="53"/>
  <c r="G60" i="53"/>
  <c r="L59" i="53"/>
  <c r="K59" i="53"/>
  <c r="J59" i="53"/>
  <c r="G59" i="53"/>
  <c r="L58" i="53"/>
  <c r="K58" i="53"/>
  <c r="J58" i="53"/>
  <c r="G58" i="53"/>
  <c r="L57" i="53"/>
  <c r="K57" i="53"/>
  <c r="J57" i="53"/>
  <c r="G57" i="53"/>
  <c r="L56" i="53"/>
  <c r="K56" i="53"/>
  <c r="J56" i="53"/>
  <c r="G56" i="53"/>
  <c r="L55" i="53"/>
  <c r="K55" i="53"/>
  <c r="J55" i="53"/>
  <c r="G55" i="53"/>
  <c r="L54" i="53"/>
  <c r="K54" i="53"/>
  <c r="J54" i="53"/>
  <c r="G54" i="53"/>
  <c r="L53" i="53"/>
  <c r="K53" i="53"/>
  <c r="J53" i="53"/>
  <c r="G53" i="53"/>
  <c r="L52" i="53"/>
  <c r="K52" i="53"/>
  <c r="J52" i="53"/>
  <c r="G52" i="53"/>
  <c r="L51" i="53"/>
  <c r="K51" i="53"/>
  <c r="J51" i="53"/>
  <c r="G51" i="53"/>
  <c r="L50" i="53"/>
  <c r="K50" i="53"/>
  <c r="J50" i="53"/>
  <c r="G50" i="53"/>
  <c r="L49" i="53"/>
  <c r="K49" i="53"/>
  <c r="J49" i="53"/>
  <c r="G49" i="53"/>
  <c r="L48" i="53"/>
  <c r="K48" i="53"/>
  <c r="J48" i="53"/>
  <c r="G48" i="53"/>
  <c r="L47" i="53"/>
  <c r="K47" i="53"/>
  <c r="J47" i="53"/>
  <c r="G47" i="53"/>
  <c r="L46" i="53"/>
  <c r="K46" i="53"/>
  <c r="J46" i="53"/>
  <c r="G46" i="53"/>
  <c r="L45" i="53"/>
  <c r="K45" i="53"/>
  <c r="J45" i="53"/>
  <c r="G45" i="53"/>
  <c r="L44" i="53"/>
  <c r="K44" i="53"/>
  <c r="J44" i="53"/>
  <c r="G44" i="53"/>
  <c r="L43" i="53"/>
  <c r="K43" i="53"/>
  <c r="J43" i="53"/>
  <c r="G43" i="53"/>
  <c r="L42" i="53"/>
  <c r="K42" i="53"/>
  <c r="J42" i="53"/>
  <c r="G42" i="53"/>
  <c r="L41" i="53"/>
  <c r="K41" i="53"/>
  <c r="J41" i="53"/>
  <c r="G41" i="53"/>
  <c r="K36" i="53"/>
  <c r="I36" i="53"/>
  <c r="H36" i="53"/>
  <c r="C36" i="53"/>
  <c r="I35" i="53"/>
  <c r="H35" i="53"/>
  <c r="K35" i="53" s="1"/>
  <c r="C35" i="53"/>
  <c r="I34" i="53"/>
  <c r="H34" i="53"/>
  <c r="K34" i="53" s="1"/>
  <c r="C34" i="53"/>
  <c r="N33" i="53"/>
  <c r="K33" i="53"/>
  <c r="I33" i="53"/>
  <c r="H33" i="53"/>
  <c r="C33" i="53"/>
  <c r="I32" i="53"/>
  <c r="H32" i="53"/>
  <c r="K32" i="53" s="1"/>
  <c r="C32" i="53"/>
  <c r="K31" i="53"/>
  <c r="I31" i="53"/>
  <c r="H31" i="53"/>
  <c r="K30" i="53"/>
  <c r="I30" i="53"/>
  <c r="H30" i="53"/>
  <c r="N29" i="53"/>
  <c r="K29" i="53"/>
  <c r="I29" i="53"/>
  <c r="H29" i="53"/>
  <c r="N28" i="53"/>
  <c r="K28" i="53"/>
  <c r="I28" i="53"/>
  <c r="H28" i="53"/>
  <c r="I27" i="53"/>
  <c r="O26" i="53"/>
  <c r="N26" i="53"/>
  <c r="M26" i="53"/>
  <c r="N34" i="53" s="1"/>
  <c r="N14" i="53" s="1"/>
  <c r="I26" i="53"/>
  <c r="K25" i="53"/>
  <c r="J25" i="53"/>
  <c r="I25" i="53"/>
  <c r="K24" i="53"/>
  <c r="J24" i="53"/>
  <c r="I24" i="53"/>
  <c r="O23" i="53"/>
  <c r="N23" i="53"/>
  <c r="M23" i="53"/>
  <c r="N31" i="53" s="1"/>
  <c r="I23" i="53"/>
  <c r="H23" i="53"/>
  <c r="J23" i="53" s="1"/>
  <c r="O22" i="53"/>
  <c r="N22" i="53"/>
  <c r="M22" i="53"/>
  <c r="N30" i="53" s="1"/>
  <c r="I22" i="53"/>
  <c r="H22" i="53"/>
  <c r="K22" i="53" s="1"/>
  <c r="K21" i="53"/>
  <c r="J21" i="53"/>
  <c r="K20" i="53"/>
  <c r="J20" i="53"/>
  <c r="D20" i="53"/>
  <c r="K19" i="53"/>
  <c r="J19" i="53"/>
  <c r="I19" i="53"/>
  <c r="K18" i="53"/>
  <c r="J18" i="53"/>
  <c r="I17" i="53"/>
  <c r="I21" i="53" s="1"/>
  <c r="M16" i="53"/>
  <c r="N16" i="53" s="1"/>
  <c r="K16" i="53"/>
  <c r="J16" i="53"/>
  <c r="I16" i="53"/>
  <c r="N15" i="53"/>
  <c r="M15" i="53"/>
  <c r="K15" i="53"/>
  <c r="J15" i="53"/>
  <c r="K14" i="53"/>
  <c r="J14" i="53"/>
  <c r="K13" i="53"/>
  <c r="J13" i="53"/>
  <c r="I13" i="53"/>
  <c r="C13" i="53"/>
  <c r="N12" i="53"/>
  <c r="M12" i="53"/>
  <c r="I12" i="53"/>
  <c r="I14" i="53" s="1"/>
  <c r="K11" i="53"/>
  <c r="J11" i="53"/>
  <c r="M10" i="53"/>
  <c r="K10" i="53"/>
  <c r="J10" i="53"/>
  <c r="D10" i="53"/>
  <c r="M9" i="53"/>
  <c r="K9" i="53"/>
  <c r="J9" i="53"/>
  <c r="D9" i="53"/>
  <c r="M8" i="53"/>
  <c r="K8" i="53"/>
  <c r="J8" i="53"/>
  <c r="D8" i="53"/>
  <c r="M7" i="53"/>
  <c r="I7" i="53"/>
  <c r="I11" i="53" s="1"/>
  <c r="D7" i="53"/>
  <c r="M6" i="53"/>
  <c r="K6" i="53"/>
  <c r="J6" i="53"/>
  <c r="D6" i="53"/>
  <c r="M5" i="53"/>
  <c r="K5" i="53"/>
  <c r="J5" i="53"/>
  <c r="D5" i="53"/>
  <c r="K4" i="53"/>
  <c r="J4" i="53"/>
  <c r="D4" i="53"/>
  <c r="M3" i="53"/>
  <c r="K3" i="53"/>
  <c r="J3" i="53"/>
  <c r="D3" i="53"/>
  <c r="M2" i="53"/>
  <c r="I2" i="53"/>
  <c r="I6" i="53" s="1"/>
  <c r="D2" i="53"/>
  <c r="L125" i="18"/>
  <c r="K125" i="18"/>
  <c r="J125" i="18"/>
  <c r="G125" i="18"/>
  <c r="L124" i="18"/>
  <c r="K124" i="18"/>
  <c r="J124" i="18"/>
  <c r="G124" i="18"/>
  <c r="L123" i="18"/>
  <c r="K123" i="18"/>
  <c r="J123" i="18"/>
  <c r="G123" i="18"/>
  <c r="L122" i="18"/>
  <c r="K122" i="18"/>
  <c r="J122" i="18"/>
  <c r="G122" i="18"/>
  <c r="L121" i="18"/>
  <c r="K121" i="18"/>
  <c r="J121" i="18"/>
  <c r="G121" i="18"/>
  <c r="L120" i="18"/>
  <c r="K120" i="18"/>
  <c r="J120" i="18"/>
  <c r="G120" i="18"/>
  <c r="L119" i="18"/>
  <c r="K119" i="18"/>
  <c r="J119" i="18"/>
  <c r="G119" i="18"/>
  <c r="L118" i="18"/>
  <c r="K118" i="18"/>
  <c r="J118" i="18"/>
  <c r="G118" i="18"/>
  <c r="L117" i="18"/>
  <c r="K117" i="18"/>
  <c r="J117" i="18"/>
  <c r="G117" i="18"/>
  <c r="L116" i="18"/>
  <c r="K116" i="18"/>
  <c r="J116" i="18"/>
  <c r="G116" i="18"/>
  <c r="L115" i="18"/>
  <c r="K115" i="18"/>
  <c r="J115" i="18"/>
  <c r="G115" i="18"/>
  <c r="L114" i="18"/>
  <c r="K114" i="18"/>
  <c r="J114" i="18"/>
  <c r="G114" i="18"/>
  <c r="L113" i="18"/>
  <c r="K113" i="18"/>
  <c r="J113" i="18"/>
  <c r="G113" i="18"/>
  <c r="L112" i="18"/>
  <c r="K112" i="18"/>
  <c r="J112" i="18"/>
  <c r="G112" i="18"/>
  <c r="L111" i="18"/>
  <c r="K111" i="18"/>
  <c r="J111" i="18"/>
  <c r="G111" i="18"/>
  <c r="L110" i="18"/>
  <c r="K110" i="18"/>
  <c r="J110" i="18"/>
  <c r="G110" i="18"/>
  <c r="L109" i="18"/>
  <c r="K109" i="18"/>
  <c r="J109" i="18"/>
  <c r="G109" i="18"/>
  <c r="L108" i="18"/>
  <c r="K108" i="18"/>
  <c r="J108" i="18"/>
  <c r="G108" i="18"/>
  <c r="L107" i="18"/>
  <c r="K107" i="18"/>
  <c r="J107" i="18"/>
  <c r="G107" i="18"/>
  <c r="L106" i="18"/>
  <c r="K106" i="18"/>
  <c r="J106" i="18"/>
  <c r="G106" i="18"/>
  <c r="L105" i="18"/>
  <c r="K105" i="18"/>
  <c r="J105" i="18"/>
  <c r="G105" i="18"/>
  <c r="L104" i="18"/>
  <c r="K104" i="18"/>
  <c r="J104" i="18"/>
  <c r="G104" i="18"/>
  <c r="L103" i="18"/>
  <c r="K103" i="18"/>
  <c r="J103" i="18"/>
  <c r="G103" i="18"/>
  <c r="L102" i="18"/>
  <c r="K102" i="18"/>
  <c r="J102" i="18"/>
  <c r="G102" i="18"/>
  <c r="L101" i="18"/>
  <c r="K101" i="18"/>
  <c r="J101" i="18"/>
  <c r="G101" i="18"/>
  <c r="L100" i="18"/>
  <c r="K100" i="18"/>
  <c r="J100" i="18"/>
  <c r="G100" i="18"/>
  <c r="L99" i="18"/>
  <c r="K99" i="18"/>
  <c r="J99" i="18"/>
  <c r="G99" i="18"/>
  <c r="L98" i="18"/>
  <c r="K98" i="18"/>
  <c r="J98" i="18"/>
  <c r="G98" i="18"/>
  <c r="L97" i="18"/>
  <c r="K97" i="18"/>
  <c r="J97" i="18"/>
  <c r="G97" i="18"/>
  <c r="L96" i="18"/>
  <c r="K96" i="18"/>
  <c r="J96" i="18"/>
  <c r="G96" i="18"/>
  <c r="L95" i="18"/>
  <c r="K95" i="18"/>
  <c r="J95" i="18"/>
  <c r="G95" i="18"/>
  <c r="L94" i="18"/>
  <c r="K94" i="18"/>
  <c r="J94" i="18"/>
  <c r="G94" i="18"/>
  <c r="L93" i="18"/>
  <c r="K93" i="18"/>
  <c r="J93" i="18"/>
  <c r="G93" i="18"/>
  <c r="L92" i="18"/>
  <c r="K92" i="18"/>
  <c r="J92" i="18"/>
  <c r="G92" i="18"/>
  <c r="L91" i="18"/>
  <c r="K91" i="18"/>
  <c r="J91" i="18"/>
  <c r="G91" i="18"/>
  <c r="L90" i="18"/>
  <c r="K90" i="18"/>
  <c r="J90" i="18"/>
  <c r="G90" i="18"/>
  <c r="L89" i="18"/>
  <c r="K89" i="18"/>
  <c r="J89" i="18"/>
  <c r="G89" i="18"/>
  <c r="L88" i="18"/>
  <c r="K88" i="18"/>
  <c r="J88" i="18"/>
  <c r="G88" i="18"/>
  <c r="L87" i="18"/>
  <c r="K87" i="18"/>
  <c r="J87" i="18"/>
  <c r="G87" i="18"/>
  <c r="L86" i="18"/>
  <c r="K86" i="18"/>
  <c r="J86" i="18"/>
  <c r="G86" i="18"/>
  <c r="L85" i="18"/>
  <c r="K85" i="18"/>
  <c r="J85" i="18"/>
  <c r="G85" i="18"/>
  <c r="L84" i="18"/>
  <c r="K84" i="18"/>
  <c r="J84" i="18"/>
  <c r="G84" i="18"/>
  <c r="L83" i="18"/>
  <c r="K83" i="18"/>
  <c r="J83" i="18"/>
  <c r="G83" i="18"/>
  <c r="L82" i="18"/>
  <c r="K82" i="18"/>
  <c r="J82" i="18"/>
  <c r="G82" i="18"/>
  <c r="L81" i="18"/>
  <c r="K81" i="18"/>
  <c r="J81" i="18"/>
  <c r="G81" i="18"/>
  <c r="L80" i="18"/>
  <c r="K80" i="18"/>
  <c r="J80" i="18"/>
  <c r="G80" i="18"/>
  <c r="L79" i="18"/>
  <c r="K79" i="18"/>
  <c r="J79" i="18"/>
  <c r="G79" i="18"/>
  <c r="L78" i="18"/>
  <c r="K78" i="18"/>
  <c r="J78" i="18"/>
  <c r="G78" i="18"/>
  <c r="L77" i="18"/>
  <c r="K77" i="18"/>
  <c r="J77" i="18"/>
  <c r="G77" i="18"/>
  <c r="L76" i="18"/>
  <c r="K76" i="18"/>
  <c r="J76" i="18"/>
  <c r="G76" i="18"/>
  <c r="L75" i="18"/>
  <c r="K75" i="18"/>
  <c r="J75" i="18"/>
  <c r="G75" i="18"/>
  <c r="L74" i="18"/>
  <c r="K74" i="18"/>
  <c r="J74" i="18"/>
  <c r="G74" i="18"/>
  <c r="L73" i="18"/>
  <c r="K73" i="18"/>
  <c r="J73" i="18"/>
  <c r="G73" i="18"/>
  <c r="L72" i="18"/>
  <c r="K72" i="18"/>
  <c r="J72" i="18"/>
  <c r="G72" i="18"/>
  <c r="L71" i="18"/>
  <c r="K71" i="18"/>
  <c r="J71" i="18"/>
  <c r="G71" i="18"/>
  <c r="L70" i="18"/>
  <c r="K70" i="18"/>
  <c r="J70" i="18"/>
  <c r="G70" i="18"/>
  <c r="L69" i="18"/>
  <c r="K69" i="18"/>
  <c r="J69" i="18"/>
  <c r="G69" i="18"/>
  <c r="L68" i="18"/>
  <c r="K68" i="18"/>
  <c r="J68" i="18"/>
  <c r="G68" i="18"/>
  <c r="L67" i="18"/>
  <c r="K67" i="18"/>
  <c r="J67" i="18"/>
  <c r="G67" i="18"/>
  <c r="L66" i="18"/>
  <c r="K66" i="18"/>
  <c r="J66" i="18"/>
  <c r="G66" i="18"/>
  <c r="L65" i="18"/>
  <c r="K65" i="18"/>
  <c r="J65" i="18"/>
  <c r="G65" i="18"/>
  <c r="L64" i="18"/>
  <c r="K64" i="18"/>
  <c r="J64" i="18"/>
  <c r="G64" i="18"/>
  <c r="L63" i="18"/>
  <c r="K63" i="18"/>
  <c r="J63" i="18"/>
  <c r="G63" i="18"/>
  <c r="L62" i="18"/>
  <c r="K62" i="18"/>
  <c r="J62" i="18"/>
  <c r="G62" i="18"/>
  <c r="L61" i="18"/>
  <c r="K61" i="18"/>
  <c r="J61" i="18"/>
  <c r="G61" i="18"/>
  <c r="L60" i="18"/>
  <c r="K60" i="18"/>
  <c r="J60" i="18"/>
  <c r="G60" i="18"/>
  <c r="L59" i="18"/>
  <c r="K59" i="18"/>
  <c r="J59" i="18"/>
  <c r="G59" i="18"/>
  <c r="L58" i="18"/>
  <c r="K58" i="18"/>
  <c r="J58" i="18"/>
  <c r="G58" i="18"/>
  <c r="L57" i="18"/>
  <c r="K57" i="18"/>
  <c r="J57" i="18"/>
  <c r="G57" i="18"/>
  <c r="L56" i="18"/>
  <c r="K56" i="18"/>
  <c r="J56" i="18"/>
  <c r="G56" i="18"/>
  <c r="L55" i="18"/>
  <c r="K55" i="18"/>
  <c r="J55" i="18"/>
  <c r="G55" i="18"/>
  <c r="L54" i="18"/>
  <c r="K54" i="18"/>
  <c r="J54" i="18"/>
  <c r="G54" i="18"/>
  <c r="L53" i="18"/>
  <c r="K53" i="18"/>
  <c r="J53" i="18"/>
  <c r="G53" i="18"/>
  <c r="L52" i="18"/>
  <c r="K52" i="18"/>
  <c r="J52" i="18"/>
  <c r="G52" i="18"/>
  <c r="L51" i="18"/>
  <c r="K51" i="18"/>
  <c r="J51" i="18"/>
  <c r="G51" i="18"/>
  <c r="L50" i="18"/>
  <c r="K50" i="18"/>
  <c r="J50" i="18"/>
  <c r="G50" i="18"/>
  <c r="L49" i="18"/>
  <c r="K49" i="18"/>
  <c r="J49" i="18"/>
  <c r="G49" i="18"/>
  <c r="L48" i="18"/>
  <c r="K48" i="18"/>
  <c r="J48" i="18"/>
  <c r="G48" i="18"/>
  <c r="L47" i="18"/>
  <c r="K47" i="18"/>
  <c r="J47" i="18"/>
  <c r="G47" i="18"/>
  <c r="L46" i="18"/>
  <c r="K46" i="18"/>
  <c r="J46" i="18"/>
  <c r="G46" i="18"/>
  <c r="L45" i="18"/>
  <c r="K45" i="18"/>
  <c r="J45" i="18"/>
  <c r="G45" i="18"/>
  <c r="L44" i="18"/>
  <c r="K44" i="18"/>
  <c r="J44" i="18"/>
  <c r="G44" i="18"/>
  <c r="L43" i="18"/>
  <c r="K43" i="18"/>
  <c r="J43" i="18"/>
  <c r="G43" i="18"/>
  <c r="L42" i="18"/>
  <c r="K42" i="18"/>
  <c r="J42" i="18"/>
  <c r="G42" i="18"/>
  <c r="L41" i="18"/>
  <c r="K41" i="18"/>
  <c r="J41" i="18"/>
  <c r="G41" i="18"/>
  <c r="I36" i="18"/>
  <c r="H36" i="18"/>
  <c r="K36" i="18" s="1"/>
  <c r="C36" i="18"/>
  <c r="I35" i="18"/>
  <c r="H35" i="18"/>
  <c r="K35" i="18" s="1"/>
  <c r="C35" i="18"/>
  <c r="I34" i="18"/>
  <c r="H34" i="18"/>
  <c r="K34" i="18" s="1"/>
  <c r="C34" i="18"/>
  <c r="N33" i="18"/>
  <c r="K33" i="18"/>
  <c r="I33" i="18"/>
  <c r="H33" i="18"/>
  <c r="C33" i="18"/>
  <c r="I32" i="18"/>
  <c r="H32" i="18"/>
  <c r="K32" i="18" s="1"/>
  <c r="C32" i="18"/>
  <c r="I31" i="18"/>
  <c r="H31" i="18"/>
  <c r="K31" i="18" s="1"/>
  <c r="K30" i="18"/>
  <c r="I30" i="18"/>
  <c r="H30" i="18"/>
  <c r="N29" i="18"/>
  <c r="I29" i="18"/>
  <c r="H29" i="18"/>
  <c r="K29" i="18" s="1"/>
  <c r="N28" i="18"/>
  <c r="K28" i="18"/>
  <c r="I28" i="18"/>
  <c r="H28" i="18"/>
  <c r="I27" i="18"/>
  <c r="O26" i="18"/>
  <c r="N26" i="18"/>
  <c r="M26" i="18"/>
  <c r="N34" i="18" s="1"/>
  <c r="N14" i="18" s="1"/>
  <c r="I26" i="18"/>
  <c r="K25" i="18"/>
  <c r="J25" i="18"/>
  <c r="I25" i="18"/>
  <c r="K24" i="18"/>
  <c r="M24" i="18" s="1"/>
  <c r="N32" i="18" s="1"/>
  <c r="J24" i="18"/>
  <c r="I24" i="18"/>
  <c r="O23" i="18"/>
  <c r="N23" i="18"/>
  <c r="M23" i="18"/>
  <c r="N31" i="18" s="1"/>
  <c r="I23" i="18"/>
  <c r="H23" i="18"/>
  <c r="O22" i="18"/>
  <c r="N22" i="18"/>
  <c r="M22" i="18"/>
  <c r="N30" i="18" s="1"/>
  <c r="I22" i="18"/>
  <c r="H22" i="18"/>
  <c r="J22" i="18" s="1"/>
  <c r="K21" i="18"/>
  <c r="J21" i="18"/>
  <c r="K20" i="18"/>
  <c r="J20" i="18"/>
  <c r="D20" i="18"/>
  <c r="K19" i="18"/>
  <c r="J19" i="18"/>
  <c r="K18" i="18"/>
  <c r="J18" i="18"/>
  <c r="I17" i="18"/>
  <c r="M16" i="18"/>
  <c r="N16" i="18" s="1"/>
  <c r="K16" i="18"/>
  <c r="J16" i="18"/>
  <c r="M15" i="18"/>
  <c r="N15" i="18" s="1"/>
  <c r="K15" i="18"/>
  <c r="J15" i="18"/>
  <c r="K14" i="18"/>
  <c r="J14" i="18"/>
  <c r="K13" i="18"/>
  <c r="J13" i="18"/>
  <c r="C13" i="18"/>
  <c r="N12" i="18"/>
  <c r="M12" i="18"/>
  <c r="I12" i="18"/>
  <c r="I14" i="18" s="1"/>
  <c r="K11" i="18"/>
  <c r="J11" i="18"/>
  <c r="M10" i="18"/>
  <c r="K10" i="18"/>
  <c r="J10" i="18"/>
  <c r="D10" i="18"/>
  <c r="M9" i="18"/>
  <c r="K9" i="18"/>
  <c r="J9" i="18"/>
  <c r="I9" i="18"/>
  <c r="D9" i="18"/>
  <c r="M8" i="18"/>
  <c r="K8" i="18"/>
  <c r="J8" i="18"/>
  <c r="I8" i="18"/>
  <c r="D8" i="18"/>
  <c r="M7" i="18"/>
  <c r="I7" i="18"/>
  <c r="I11" i="18" s="1"/>
  <c r="D7" i="18"/>
  <c r="M6" i="18"/>
  <c r="K6" i="18"/>
  <c r="J6" i="18"/>
  <c r="D6" i="18"/>
  <c r="M5" i="18"/>
  <c r="K5" i="18"/>
  <c r="J5" i="18"/>
  <c r="D5" i="18"/>
  <c r="K4" i="18"/>
  <c r="J4" i="18"/>
  <c r="I4" i="18"/>
  <c r="D4" i="18"/>
  <c r="M3" i="18"/>
  <c r="K3" i="18"/>
  <c r="J3" i="18"/>
  <c r="I3" i="18"/>
  <c r="D3" i="18"/>
  <c r="M2" i="18"/>
  <c r="I2" i="18"/>
  <c r="I6" i="18" s="1"/>
  <c r="D2" i="18"/>
  <c r="A978" i="1"/>
  <c r="A977" i="1"/>
  <c r="A976" i="1"/>
  <c r="A975" i="1"/>
  <c r="A974" i="1"/>
  <c r="A973" i="1"/>
  <c r="A972" i="1"/>
  <c r="A971" i="1"/>
  <c r="A970"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Q265" i="1"/>
  <c r="P265"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E218" i="1"/>
  <c r="A218" i="1" s="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1" i="1" s="1"/>
  <c r="A3" i="1"/>
  <c r="K22" i="18" l="1"/>
  <c r="M4" i="18"/>
  <c r="M4" i="53"/>
  <c r="O24" i="53"/>
  <c r="N13" i="53"/>
  <c r="O29" i="53"/>
  <c r="K23" i="53"/>
  <c r="O24" i="18"/>
  <c r="N24" i="18"/>
  <c r="M24" i="53"/>
  <c r="N32" i="53" s="1"/>
  <c r="N24" i="53"/>
  <c r="R265" i="1"/>
  <c r="K23" i="18"/>
  <c r="J23" i="18"/>
  <c r="I19" i="18"/>
  <c r="I21" i="18"/>
  <c r="I18" i="18"/>
  <c r="I20" i="18"/>
  <c r="O29" i="18"/>
  <c r="N13" i="18"/>
  <c r="I15" i="18"/>
  <c r="I13" i="18"/>
  <c r="I5" i="18"/>
  <c r="B20" i="18" s="1"/>
  <c r="I10" i="18"/>
  <c r="I16" i="18"/>
  <c r="I5" i="53"/>
  <c r="I10" i="53"/>
  <c r="J22" i="53"/>
  <c r="I3" i="53"/>
  <c r="I8" i="53"/>
  <c r="I20" i="53"/>
  <c r="I4" i="53"/>
  <c r="I9" i="53"/>
  <c r="I15" i="53"/>
  <c r="I18" i="53"/>
  <c r="B20" i="53" l="1"/>
  <c r="S265" i="1"/>
  <c r="T265" i="1" l="1"/>
  <c r="U265" i="1" s="1"/>
  <c r="V265" i="1" s="1"/>
  <c r="W265" i="1" s="1"/>
  <c r="X265" i="1" s="1"/>
</calcChain>
</file>

<file path=xl/sharedStrings.xml><?xml version="1.0" encoding="utf-8"?>
<sst xmlns="http://schemas.openxmlformats.org/spreadsheetml/2006/main" count="3788" uniqueCount="2230">
  <si>
    <t>This column is for developing the actual game text of an ability</t>
  </si>
  <si>
    <t>Category</t>
  </si>
  <si>
    <t>Ability Name</t>
  </si>
  <si>
    <t>Ability Description</t>
  </si>
  <si>
    <t>Rules Text</t>
  </si>
  <si>
    <t>BP Cost</t>
  </si>
  <si>
    <t>Affinity req</t>
  </si>
  <si>
    <t>W</t>
  </si>
  <si>
    <t>U</t>
  </si>
  <si>
    <t>B</t>
  </si>
  <si>
    <t>R</t>
  </si>
  <si>
    <t>G</t>
  </si>
  <si>
    <t>tot</t>
  </si>
  <si>
    <t>R1</t>
  </si>
  <si>
    <t>R2</t>
  </si>
  <si>
    <t>R3</t>
  </si>
  <si>
    <t>R4</t>
  </si>
  <si>
    <t>R5</t>
  </si>
  <si>
    <t>R6</t>
  </si>
  <si>
    <t>R7</t>
  </si>
  <si>
    <t>R8</t>
  </si>
  <si>
    <t>R9</t>
  </si>
  <si>
    <t>R10</t>
  </si>
  <si>
    <t>Aura</t>
  </si>
  <si>
    <t>Drinker of Souls</t>
  </si>
  <si>
    <t>Automatically absorb energy from dying / recently slain foes</t>
  </si>
  <si>
    <t>A creature that begins dying or loses health while dying within the aura rolls BOD vs. WIL to resist, failure or tie results in its death. This aura automatically succeeds against a target that has been dead for up to 5 rounds, on 6+ rounds no effect. 
When a creature's soul is consumed gain 1 temporary HP, stacking.
A creature's soul can only be so consumed once. If multiple instances of this ability would trigger on a soul, the owner who most recently acted in initiative gets priority, then second most recent, etc.</t>
  </si>
  <si>
    <t>10</t>
  </si>
  <si>
    <t xml:space="preserve">7B,(9)
</t>
  </si>
  <si>
    <t>Drinker of souls generates stacking temp health and provides a culling effect.
The value of the culling effect remains to be seen as enemies healing downed allies seems a lot rarer than it should be?
Stackable THP feels like something for the middle bracket (TR 4-6, maybe 7). 
How does it piggyback on other THP generation?
Given it takes up the aura slot, this ability can likely preserve its low cost. Though it should probably be limited at the very least 
+20 Generates 1 THP
-10 On kill trigger (any ally or you), no action
+40? stacking THP
-20 aura discount
new price: 30</t>
  </si>
  <si>
    <t>Enduring Presence</t>
  </si>
  <si>
    <t>Damage dampening, discharge to mitigate one hit</t>
  </si>
  <si>
    <t xml:space="preserve">Allies within the aura gain RANK+1 damage dampening. 
Discharge: one subject of the aura gets RANK+1+(quantity of subjects) damage dampening against one attack. </t>
  </si>
  <si>
    <t>60/70/80</t>
  </si>
  <si>
    <t>12W,(15)
16W,(21)
20W,(27)</t>
  </si>
  <si>
    <t xml:space="preserve">Big white defensive aura. Doesn't feel out of place on any details at this point
200/300/400 provides Rank+1 dampening
2x Provides benefits to party
-20 aura discount
discharge function
0.2x Complex, prepared in advance
500/600/700 dampening
</t>
  </si>
  <si>
    <t>Fear Aura</t>
  </si>
  <si>
    <t xml:space="preserve">This fear aura triggers on any aggressive action. 
</t>
  </si>
  <si>
    <t xml:space="preserve">You may attempt a free intimidation check against all enemies within the aura once per round as part of an attack. The effects of the intimidation check apply after the attack is resolved. As normal, you can only apply one fear effect to a given target once per turn.
</t>
  </si>
  <si>
    <t>15</t>
  </si>
  <si>
    <t>4R,5(B|R),(12)</t>
  </si>
  <si>
    <t>Fear is supposedly a B|R effect. So perhaps exclusive B|R? TR4-6. Price can stay low given it triggers infrequently. It's otherwise a potent effect, but it is an aura.</t>
  </si>
  <si>
    <t>Feedback Aura</t>
  </si>
  <si>
    <t>Nearby enemies subject to damage when you are wounded</t>
  </si>
  <si>
    <t>Enemies in the aura (CHA/2 *5 ft instead of standard CHA*5) resist (damage you took+CHA-2) as psychic damage with mental soak.</t>
  </si>
  <si>
    <t>4(W|B),4(W|U|B),(15)</t>
  </si>
  <si>
    <t>Defense bypassing thorns effect. 
Feels to be more of a W|B effect. Good for popping mooks. Has obvious synergy with THP</t>
  </si>
  <si>
    <t>Generous Enchancements</t>
  </si>
  <si>
    <t>Share the effects of one ongoing buff you are subject to with all allies in range of this aura.</t>
  </si>
  <si>
    <t xml:space="preserve">When you trigger a buff you may designate it as being Generously Enhanced. This ability becomes the shared aura effect of Generous Enhancements and does not count for you as a body buff if it was one. As a Extra action you may designate a buff currently on you to become Generously Enhanced, it becomes the aura effect and any current aura effect reverts to its normal buff state. </t>
  </si>
  <si>
    <t>100</t>
  </si>
  <si>
    <t>12W,12G,(30)</t>
  </si>
  <si>
    <t>Glare of the noonday sun</t>
  </si>
  <si>
    <t>nonlethal damage vs. everything at start of your turn</t>
  </si>
  <si>
    <t>All creatures within (CHA/2 + RANK) ft (including you) must soak (BOD + 2* RANK) fire damage at the start of your turn. This damage is always nonlethal.</t>
  </si>
  <si>
    <t>30/40/50</t>
  </si>
  <si>
    <t xml:space="preserve">14(W|R|G),(18)
16(W|R|G),(21)
19(W|R|G),(24)
</t>
  </si>
  <si>
    <t>tri color exclusive, accessible to 3x 2c, matching 3c, and 6 (2/3) match 3c that stretch. Culls mooks generally</t>
  </si>
  <si>
    <t>Lawbringer's Presence</t>
  </si>
  <si>
    <t>Free counterspell attempts on any spells cast within this aura</t>
  </si>
  <si>
    <t>You may attempt to counterspell any spell cast within this aura for (0)</t>
  </si>
  <si>
    <t>8W,8U,8(W|U),(30)</t>
  </si>
  <si>
    <t>Should all capstones be partial color flex?</t>
  </si>
  <si>
    <t>Magic Circle of Heart</t>
  </si>
  <si>
    <t>All allies in the aura gain rank X to an element of your choice, chosen on activation.</t>
  </si>
  <si>
    <t>All allies in the aura gain 2*RANK resist to ELEMENT of your choice, chosen on activation.</t>
  </si>
  <si>
    <t>20,30,40</t>
  </si>
  <si>
    <t xml:space="preserve">3W,(9) per
</t>
  </si>
  <si>
    <t>May be a bit underpriced for how potent it could be?
Green magic resist seems to be another theme that could be called upon</t>
  </si>
  <si>
    <t>Mana Leech</t>
  </si>
  <si>
    <t xml:space="preserve">Name a color. All drain using abilities except for the named color are subject to 1 higher drain. Whenever such an ability is used, roll 4 dice and heal HITS drain. </t>
  </si>
  <si>
    <t>Name a color on aura activation. All spells and other drain using abilities used within the aura except for the named color may take 2+2*RANK overload. If they don't, roll 2+2*rank dice and heal HITS drain and the ability user loses HITS drain.</t>
  </si>
  <si>
    <t>7U,7B,(18)
9U,9B,(24)
12U,12B,(30)</t>
  </si>
  <si>
    <t>Spells only. May be slighly underpriced?</t>
  </si>
  <si>
    <t>Menacing Presence</t>
  </si>
  <si>
    <t>Penalty to enemies trying to attack allies other than you</t>
  </si>
  <si>
    <t>Enemies within (CHA*5 feet) take (CHA) penalty to their attack pools if targeting anything but a user of Menacing Presence. If enemies are not aware of you, this aura does not affect them.</t>
  </si>
  <si>
    <t>4W,5(W|B|G),(12)</t>
  </si>
  <si>
    <t>Natural Shielding</t>
  </si>
  <si>
    <t>Aura, allies gain resistances</t>
  </si>
  <si>
    <t>All allies within the aura gain +RANK armor, and 2*RANK+2 dice on rolls to resist effects originating from other recipients of this aura.</t>
  </si>
  <si>
    <t>40/50/60</t>
  </si>
  <si>
    <t>7G,(15)
10G,(21)
13G,(27)</t>
  </si>
  <si>
    <t>Never surrender</t>
  </si>
  <si>
    <t>grants diehard to allies</t>
  </si>
  <si>
    <t>Allies do not fall unconscious when a damage track is filled. They still die from overflow.</t>
  </si>
  <si>
    <t>6W,6R,(15)</t>
  </si>
  <si>
    <t>No Retreat!</t>
  </si>
  <si>
    <t>Your inspiration prevents enemies from being able to withdraw safely</t>
  </si>
  <si>
    <t>Enemies within your zone of control provoke attacks of opportunity from you when using any form of movement even if they would not normally provoke.  At rank 2 all enemies within CHA*5 always provoke attacks of opportunity (from threatening allies) when moving through an allies zone of control. All forms of movement, including instant teleportation, provoke. Allies must also be within this aura to gain these benefits.</t>
  </si>
  <si>
    <t>20/20</t>
  </si>
  <si>
    <t>4W,5(W|B),(12)
7W,9(W|B),(21)</t>
  </si>
  <si>
    <t>Rally Morale</t>
  </si>
  <si>
    <t>Your allies may use your willpower in place of their own, or their willpower + RANK (whichever is higher) when resisting most effects. This does not apply to drain checks.</t>
  </si>
  <si>
    <t>6W,6(W|U|G),(15)</t>
  </si>
  <si>
    <t>Rallying Aura</t>
  </si>
  <si>
    <t>bonus vs. fear and charm, bonus on combat</t>
  </si>
  <si>
    <t xml:space="preserve">Resist fear, resist charm, combat; +1 die per rank
</t>
  </si>
  <si>
    <t>15
30
45</t>
  </si>
  <si>
    <t>3W,4(W|R),(9)
7W,7(W|R),(18)
10W,11(W|R),(27)</t>
  </si>
  <si>
    <t>Rallying Spirit</t>
  </si>
  <si>
    <t>Your combat prowess brings inspiration to your allies, their morale confers healing</t>
  </si>
  <si>
    <t>When you make a successful melee attack you may heal an ally within CHA*5 ft RANK*4 meat or RANK*8 stam health. (This healing is subject to normal healing rules.)</t>
  </si>
  <si>
    <t>6W,(12)
9W,(18)
12W,(24)
18W,(30)</t>
  </si>
  <si>
    <t>Repositioning Aura</t>
  </si>
  <si>
    <t>When you hit with an attack you may designate an ally within your aura to take a move action.</t>
  </si>
  <si>
    <t>When you hit with an attack you may designate an ally within your aura to move up to their movement rate.</t>
  </si>
  <si>
    <t>20</t>
  </si>
  <si>
    <t>3W,(15)</t>
  </si>
  <si>
    <t>Shielding Aura</t>
  </si>
  <si>
    <t>When you make a parry, all allies within the aura gain 1 temp hp</t>
  </si>
  <si>
    <t>When you succesfully block or parry, all allies except you within the aura gain 2 temp hp</t>
  </si>
  <si>
    <t>40</t>
  </si>
  <si>
    <t>7W,(21)</t>
  </si>
  <si>
    <t>Skill Teamwork</t>
  </si>
  <si>
    <t>Boost allies' skills for skills you have high ranks in
 (DEPRECATED)</t>
  </si>
  <si>
    <t>DEPRECATED
Rank 1: up to 2
Rank 2: up to 4
Rank 3: up to 6
Rank 4: up to 8</t>
  </si>
  <si>
    <t>20,40,60,80</t>
  </si>
  <si>
    <t xml:space="preserve">1W,1G,1(W|G),(6) per
</t>
  </si>
  <si>
    <t>Slow Aura</t>
  </si>
  <si>
    <t>increase initiative cost of enemy actions</t>
  </si>
  <si>
    <t>Enemy's actions cost 1+(RANK) more initiative so long as they are within (5*CHA feet) of you. If another effect would inflict a penalty on the initiative cost of actions only the highest penalty applies.</t>
  </si>
  <si>
    <t>10
15
20</t>
  </si>
  <si>
    <t>3U,4(W|U),(9)
7U,7(W|U),(18)
10U,11(W|U),(27)</t>
  </si>
  <si>
    <t>Warleader</t>
  </si>
  <si>
    <t>Allies can attack right after you with a bonus.</t>
  </si>
  <si>
    <t>The first time you attack each turn all allies within range may take their turn immediately after yours. An ally who chooses to do so may only move or make attacks during that turn. Allies who make use of this ability gain a stacking, refreshing +1 dice to all attack, block, parry rolls until the end of their next turn. The maximum benefit of this bonus is your CHA.</t>
  </si>
  <si>
    <t>50</t>
  </si>
  <si>
    <t>9W,9R,(24)</t>
  </si>
  <si>
    <t>Buff</t>
  </si>
  <si>
    <t>All outta Bubblegum</t>
  </si>
  <si>
    <t>various grapple, melee roughness bonuses</t>
  </si>
  <si>
    <t xml:space="preserve">Body Buff
RANK-1 damage dampening
ignore RANK points of wound penalty
+RANK vs. knockdown, disarm, trip, resisting grapple
Melee attacks trigger knockdown on hit. Target rolls physical resist or gymnastics vs. unsoaked damage.
Enemies that fail to escape your grapples take damage as if you made the grapple attack action against them
Ignore half an enemy's armor with your grapple attacks
</t>
  </si>
  <si>
    <t>20/30/40</t>
  </si>
  <si>
    <t>4(R|G),(9)
9(R|G),(18)
13(R|G),(27)</t>
  </si>
  <si>
    <t>Arcane Conduit</t>
  </si>
  <si>
    <t xml:space="preserve">Casting spells </t>
  </si>
  <si>
    <t>Body Buff
Casting a spell generates a mana charge.
Charges may be expended as follows
2-Spent to mitigate an overload (per 1)
2-Spent in place of init costs on counterspelling/redirecting (per 5)
2-Spent to mitigate a counterspell/redirect attempt against one of your spells (-3 dice to opposed attempt per)
Max charges = 2*RANK 
These charges decay after one minute of not generating nor using charges. If you would overflow your limit on charges take drain equal to the overflow amount. You shed sparking magical light (as a torch) while you have at least 2 charges.
At Rank 2: Centering generates 1 charge, every point of drain you take from spellcasting generates 1 charge.
At Rank 3: All charge generation is increased by +1</t>
  </si>
  <si>
    <t>30/40/80</t>
  </si>
  <si>
    <t>4U,4R,(18)
6U,6R,(24)
8U,8R,(30)</t>
  </si>
  <si>
    <t>Avatar of Malice</t>
  </si>
  <si>
    <t>Empower attacks, lifesteal, ignore full defense</t>
  </si>
  <si>
    <t xml:space="preserve">Body buff. 
All damage you deal is applied as Dark damage post mitigation.
Enemies need to spend (5) in order for their total defense to apply against your attack.
Whenever your melee attack deals damage to one or more targets gain 2 temp hp, your temp hp may stack.
You treat all incoming dark damage and dark damage you suffer as normal damage. 
After damage is calculated against you, you may move up to (WIL/2) points of it to the delayed track. At the end of the round you lose health equal to the damage in the delayed track, the track then empties. </t>
  </si>
  <si>
    <t xml:space="preserve">24B,(30)
</t>
  </si>
  <si>
    <t>Avatar of the Heart</t>
  </si>
  <si>
    <t>Let there be heals</t>
  </si>
  <si>
    <t>Body Buff
When your healing effects heal a creature for at least 1 health you also grant them 2 temp hp. This temp HP can stack on existing temp hp.
You may spend 1L in place of any drain you suffer as part of casting a healing effect, this also mitigates all drain for recipients of this healing effect. 
you may take 3 on all healing rolls
You may trigger healing effects as an interrupt at (5)</t>
  </si>
  <si>
    <t>24W,(30)</t>
  </si>
  <si>
    <t>Bastion</t>
  </si>
  <si>
    <t>Defensive bonuses, reduced offensive power</t>
  </si>
  <si>
    <t>half Action. Increase damage dampening by RANK+2. Reduce the starting power of your attacks by RANK+2. This is a body buff</t>
  </si>
  <si>
    <t>50 per</t>
  </si>
  <si>
    <t>3W,(15)
5W,(21)
6W,(27)</t>
  </si>
  <si>
    <t>Bonemonger</t>
  </si>
  <si>
    <t>Successful attacks generate a temp hp shield, can detonate temp hp shield</t>
  </si>
  <si>
    <t>Successful attacks generate 2 temp hp. You may detonate your temp hp, discharging the buff, as a full action to deal BOD+temp hp DV as a 10ft AoE attack (attacking with your weapon skill or spellcasting dicepool). This is a body buff.</t>
  </si>
  <si>
    <t>7W,7B,(18)</t>
  </si>
  <si>
    <t>Brambleward</t>
  </si>
  <si>
    <t>Ward against targeted magical effects, discharge for a burst of strength</t>
  </si>
  <si>
    <t>half action. Gain +3*RANK against targeted magical effects until the end of this round. You may discharge this effect to get +2 STR *RANK on one attempted action.</t>
  </si>
  <si>
    <t>10,20,30</t>
  </si>
  <si>
    <t>4G,(9)
9G,(18)
13G,(27)</t>
  </si>
  <si>
    <t>Charge Weapon</t>
  </si>
  <si>
    <t>Hold a spell in a weapon to be discharged upon striking</t>
  </si>
  <si>
    <t>You can cast spells into your weapon(s). The spells are discharged upon striking an opponent, one at a time, in the order they were cast in. 
-Spells that normally target dodge automatically hit with 0 net hits. In the case of AoE effects produced off this (RULING NEEDED)
-Spells that target mental or physical resolve as normal.
Casting a spell into a weapon is a half action. For every half action spent since the start of your last turn casting spells into your weapon(s) you may cast an additional spell as part of the half action. You may store up to (cast stat) spells at one time and you can only store spells of up to 1+(cast stat / 2) force.
If the weapon leaves your possession for a minute all charges dissipate. Stored charges dissipate an hour after the last charge was added.</t>
  </si>
  <si>
    <t>3U,3R,(12)</t>
  </si>
  <si>
    <t>Conjure weapon / armor</t>
  </si>
  <si>
    <t>Summon personalized weapon / armor, functions while in your keeping but phases out for others</t>
  </si>
  <si>
    <t>Binding weapons and/or armor is accomplished during one hour of downtime. 
You may summon any or all of the bound weapons/armor as if drawing (half), or dismiss them as if sheathing (half). When an item is dismissed it exists in a pocket dimension and access can be prevented by effects that limit extradimensional travel. Dismissed items count as attended. You may summon bound equipment back to you granted it has been at most one minute since you last made contact with it. If it is attended the attender must be willing. You are aware of the general direction your bound equipment is in if you become separated from it. 
You may bind one set of armor and (two one handed weapons or one two handed weapon) per rank.</t>
  </si>
  <si>
    <t>5 per</t>
  </si>
  <si>
    <t>1W,(6)</t>
  </si>
  <si>
    <t>Crisp and Cauterize</t>
  </si>
  <si>
    <t>Dealing direct fire damage procs a heal
Healing procs a firebolt</t>
  </si>
  <si>
    <t>Body Buff.
Whenever your attack or ability deals fire damage to a target you may heal an ally within 60ft for up to an equivalent amount of health.
Whenever you heal an ally you may generate a single target ranged firebolt as per Elemental Blast, at DV-1 of default
This ability cannot trigger itself</t>
  </si>
  <si>
    <t>Deflecting Miasma</t>
  </si>
  <si>
    <t>More armor vs. ranged attacks, less armor vs. melee attack</t>
  </si>
  <si>
    <t>Gain RANK armor against ranged attacks, take a penalty of RANK armor against melee attacks. Activating this buff is a simple action.</t>
  </si>
  <si>
    <t>,(15)</t>
  </si>
  <si>
    <t>Displacer</t>
  </si>
  <si>
    <t xml:space="preserve">You occupy two adjacent squares, appearing to flicker between them. 
</t>
  </si>
  <si>
    <t xml:space="preserve">Body Buff
Gain +3 on all defensive checks (not mental or physical resist)
You occupy two adjacent squares.
You may act from either position that you occupy.
You may pass through thin obstacles at the cost of 5ft of movement.
You can pay (5) init to solidify in one spot at any time, or a half action during your turn, stabilizing the effect until you spend a Extra action to resume it. </t>
  </si>
  <si>
    <t>3U,4(U|G),(15)</t>
  </si>
  <si>
    <t>Duty's Ward</t>
  </si>
  <si>
    <t>Move to punish those who threaten your selected ally</t>
  </si>
  <si>
    <t xml:space="preserve">This buff links you and one ally (within 60ft on activation) and lasts 24 hours or until one recipient opts to dismiss it as a full action. You are aware of when the linked ally is threatened or hurt. You can sense the rough direction the linked ally is in. Enemies taking actions that target the ally but not you provoke attacks of opportunity. Such a triggering action also grants 10ft of movement if that would allow you to move to threaten the triggering enemy. </t>
  </si>
  <si>
    <t>30</t>
  </si>
  <si>
    <t>9W,(12)</t>
  </si>
  <si>
    <t>Earthward</t>
  </si>
  <si>
    <t>Generates temp HP and 3 lightning resist</t>
  </si>
  <si>
    <t xml:space="preserve">Body Buff.
Every minute and when you activate this ability you generate 2 temporary hp up to half your maximum temp hp. You also gain 6 lightning res.
_________________
Temporary HP accrues at the start of each round instead of every minute. </t>
  </si>
  <si>
    <t>20,30</t>
  </si>
  <si>
    <t xml:space="preserve">6G,(12)
12G,(24)
</t>
  </si>
  <si>
    <t>Elemental Body (Acid)</t>
  </si>
  <si>
    <t xml:space="preserve">Acid: acid retal burst 
</t>
  </si>
  <si>
    <t>Gain for the duration Resist Acid: 6*RANK Whenever you are struck by a corporeal attack that does at least 1 point of damage all adjacent creatures must soak (armor soak) acid damage equal to  (BOD + 3*RANK). You may channel the acid into an area attack centered on you (you are unaffected by this attack) with (BOD/2*5 ft radius). DV = (BOD+3* RANK)(resolve as a spellcast or attack as desired). Doing so ends the benefits of Elemental Body. This is a body buff. Activating this buff is a half action, channeling the acid is a full action.</t>
  </si>
  <si>
    <t>15/25/35</t>
  </si>
  <si>
    <t>2(B|G),(9)
4(B|G),(18)
6(B|G),(27)</t>
  </si>
  <si>
    <t>Elemental Body (Air)</t>
  </si>
  <si>
    <t>Flight, increased movement speed, deflection, immunity to gases/inhaled poisons, wind blast discharge</t>
  </si>
  <si>
    <t>You gain the ability to (glide, fly as per flight N, fly as per flight NN), your movement speed increases by 10*RANK, you gain +RANK dice vs. ranged attacks, immunity to gases and inhaled poisons, treat wind based vision penalties as RANK steps lower. As a full action you may discharge this buff to produce a (BOD/2)*5ft cone of rushing air, rolling weapon skill or spellcasting vs. all targets in the cone (eDV = BOD + 3*rank). Targets Resist with Physical Resist and soak with Physical soak. Targets are pushed (unsoaked eDV)/2 *5ft directly away from you.</t>
  </si>
  <si>
    <t xml:space="preserve">
2(W|U),(9)
4(W|U),(18)
6(W|U),(27)</t>
  </si>
  <si>
    <t>Elemental Body (Cold)</t>
  </si>
  <si>
    <t xml:space="preserve">Cold: chilling presence
</t>
  </si>
  <si>
    <t>Gain for the duration
Resist Cold: 6*RANK
Creatures that start their turn adjacent lose RANK initiative as if suffering damage from a cold effect. Resistance to cold mitigates this at a 1:1 ratio.
You may channel the chill into an area attack centered on you (you are unaffected by this attack) with (BOD/2*5 ft radius). DV = (BOD+ 3*RANK)(resolve as a spellcast or attack as desired). Doing so ends the benefits of Elemental Body. This is a body buff. Activating this buff is a half action, channeling the cold is a full action.</t>
  </si>
  <si>
    <t xml:space="preserve">2U,(9) per
</t>
  </si>
  <si>
    <t>Elemental Body (Dark)</t>
  </si>
  <si>
    <t>Ebody dark, resist dark, (active)</t>
  </si>
  <si>
    <t>Gain for the duration Resist Dark: 6*RANK Whenever you are struck by a corporeal attack that does at least 1 point of damage you produce an obscuring miasma in your square that lasts until the end of the round/next round/next next round. You may channel the darkness into an obscuring miasma centered on you, radius = (BOD/2 -1+RANK), that lasts until the end of the next round. The miasma blocks all light for everyone except you. Doing so ends the benefits of Elemental Body. This is a body buff. Activating this buff is a half action, channeling the darkness is a full action.</t>
  </si>
  <si>
    <t>2(B),(9)
4(B),(18)
6(B),(27)</t>
  </si>
  <si>
    <t>Elemental Body (Earth)</t>
  </si>
  <si>
    <t xml:space="preserve">Earth: </t>
  </si>
  <si>
    <t>Gain for the duration
Damage Dampening: 2
You may channel the strength of earth to mitigate one physical attack. Gaining an additional 3*RANK Damage Dampening. Doing so ends the benefits of Elemental Body after resolving the damage for that attack. This is a body buff. Activating this buff is a half action, channeling the earth is a nonaction.</t>
  </si>
  <si>
    <t>2G,(9) per</t>
  </si>
  <si>
    <t>Elemental Body (Fire)</t>
  </si>
  <si>
    <t xml:space="preserve">Fire: Burning presence, fire burst
</t>
  </si>
  <si>
    <t>Gain for the duration
Resist Fire: 6*RANK
Creatures that start their turn adjacent must save or catch fire as if affected by a (BOD+2*RANK) fire attack. At the end of each round adjacent objects save or catch fire.
You may channel the fire into an area attack centered on you (you are unaffected by this attack) with (BOD/2*5 ft radius). DV = (BOD+ 3*RANK)(resolve as a spellcast or attack as desired). Doing so ends the benefits of Elemental Body. This is a body buff. Activating this buff is a half action, channeling the fire is a full action.</t>
  </si>
  <si>
    <t>2R,(9) per</t>
  </si>
  <si>
    <t>Elemental Body (Lightning)</t>
  </si>
  <si>
    <t xml:space="preserve">Lightning: lightning presence, lightning leap
</t>
  </si>
  <si>
    <t xml:space="preserve">Gain for the duration
Resist Lightning: 6*RANK
Creatures that are adjacent to you that take lightning damage take an additional point of lightning damage as if struck by a separate lightning effect. This ability cannot trigger itself.
You may channel the lightning into a line attack originating from you with up to (BOD*10 ft length). DV = (BOD+ 3*RANK)(resolve as a spellcast or attack as desired). You may teleport to the farthest square of the target area. Using the attack function ends the benefits of Elemental Body. This is a body buff. Activating this buff is a half action, channeling the lightning is a full action. </t>
  </si>
  <si>
    <t>Elemental Body (Radiant)</t>
  </si>
  <si>
    <t>Ebody radiant, resist radiant, (active)</t>
  </si>
  <si>
    <t>Gain for the duration Resist Radiant: 6*RANK Whenever you are struck by a corporeal attack that does at least 1 point of damage all adjacent creatures must avoid automatic blinding (until end of round), dodge or physical res vs. (BOD/2+rank-2) automatic hits. You may channel the radiance into an area attack centered on you (you are unaffected by this attack) with ((BOD/2+1)*5 ft radius), resolve as an attack or spellcast as desired. This attack does no damage, may be dodged or physically resisted, and only requires 3 net hits to blind (blinding until end of next round). This a. Doing so ends the benefits of Elemental Body. This is a body buff. Activating this buff is a half action, channeling the radiance is a full action.</t>
  </si>
  <si>
    <t>2(W),(9)
4(W),(18)
6(W),(27)</t>
  </si>
  <si>
    <t>Envenom Weapons</t>
  </si>
  <si>
    <t>Poison weapons as weapon buff</t>
  </si>
  <si>
    <t>Damage adjusted by -4
Victim injured by weapon soaks venom at end of round with phys soak, DV = your BOD 
As usual for poison effects subsequent applications of the poison during the same round raise the end of round DV by 2.</t>
  </si>
  <si>
    <t xml:space="preserve">
7(B|G),(9)</t>
  </si>
  <si>
    <t>Escalation</t>
  </si>
  <si>
    <t>Lose mana each turn, but guarantee a growing drain soak value</t>
  </si>
  <si>
    <t>Costs 1 mana to activate. Pay 1 mana at the start of your turn or this buff expires. Let X be the number of turns this buff has been active, counting the activation turn as the first turn. You may replace the result of your drain soak roll with X after rolling. Activating this buff is a simple action.</t>
  </si>
  <si>
    <t>10R,(21)</t>
  </si>
  <si>
    <t>Fleetfoot Blessing</t>
  </si>
  <si>
    <t>1 temp hp, movespeed bonus while this temp hp lasts</t>
  </si>
  <si>
    <t>grant 2 temp HP, increase your movement speed by 10 for 10 rounds. half action.</t>
  </si>
  <si>
    <t>5</t>
  </si>
  <si>
    <t xml:space="preserve">3W,3R,(12)
</t>
  </si>
  <si>
    <t>Imbue Weapon (Acid)</t>
  </si>
  <si>
    <t>Half action to apply element to attended weapons, dismiss as Extra action.
Changes weapon damage type to element.
Damage adjusted by -1</t>
  </si>
  <si>
    <t>half action to apply element to attended weapons, dismiss as Extra action.
Changes weapon damage type to element.
Damage adjusted by -2</t>
  </si>
  <si>
    <t>4(B|G),(9)</t>
  </si>
  <si>
    <t>Imbue Weapon (Cold)</t>
  </si>
  <si>
    <t>4U,(9)</t>
  </si>
  <si>
    <t>Imbue Weapon (Dark)</t>
  </si>
  <si>
    <t>4B,(9)</t>
  </si>
  <si>
    <t>Imbue Weapon (Fire)</t>
  </si>
  <si>
    <t>4R,(9)</t>
  </si>
  <si>
    <t>Imbue Weapon (Lightning)</t>
  </si>
  <si>
    <t>Imbue Weapon (Radiant)</t>
  </si>
  <si>
    <t>4W,(9)</t>
  </si>
  <si>
    <t>Martial Spirit</t>
  </si>
  <si>
    <t>No aura, two stances, combine maneuvers</t>
  </si>
  <si>
    <t>Body Buff
You may not have an aura active
You may have two stances active
You may combine two maneuvers as part of one action where both could apply. If they both have initiative costs, you only need to pay the higher one.</t>
  </si>
  <si>
    <t>8W,8R,8(W|R),(30)</t>
  </si>
  <si>
    <t>TR10</t>
  </si>
  <si>
    <t>Press your luck</t>
  </si>
  <si>
    <t>Spend (2?3?) points of luck, for the rest of the round all your dice explode</t>
  </si>
  <si>
    <t>Nonaction. Spend 2 luck, For the rest of the round all your dice explode.</t>
  </si>
  <si>
    <t xml:space="preserve">9R,(18)
</t>
  </si>
  <si>
    <t>Purging Bubble</t>
  </si>
  <si>
    <t>1 temp hp, 1 purge roll on apply</t>
  </si>
  <si>
    <t xml:space="preserve">half action. Reduce the (e)DV of one ongoing status on the target by 5. Target gains 1 temp hp </t>
  </si>
  <si>
    <t xml:space="preserve">7W,(9)
</t>
  </si>
  <si>
    <t>probably too cheap at 5</t>
  </si>
  <si>
    <t>Shadow Partner</t>
  </si>
  <si>
    <t>Create a fragile clone of yourself with half stats that mirrors your actions</t>
  </si>
  <si>
    <t xml:space="preserve">Extra action, spend 1 L. Create a shadowy clone of yourself in an adjacent square. It acts on your initiative count, has half your dicepool for any roll before modifiers. The clone cannot spend initiative on any actions, nor can it spend luck. The clone has its own health and cannot be healed, taking all damage as lethal. The clone does not suffer wound penalties. You can perceive everything your clone perceives. Outside of these limitations, your clone functions with your abilities. </t>
  </si>
  <si>
    <t xml:space="preserve">8U,8B,8(U|B),(30)
</t>
  </si>
  <si>
    <t>Shared fate</t>
  </si>
  <si>
    <t>split damage with ally</t>
  </si>
  <si>
    <t xml:space="preserve">full Action. Touch range, targets ally and self. For the duration all damage suffered by either recipient of this buff is split equally (primary target takes higher value in case of odd valued damage). Split damage after all resistances and rolls are concluded.
</t>
  </si>
  <si>
    <t xml:space="preserve">4W,(6)
</t>
  </si>
  <si>
    <t>Soulward</t>
  </si>
  <si>
    <t>Spend X health, get 2X temp hp</t>
  </si>
  <si>
    <t>half Action. Spend X health to gain 2X temp hp.</t>
  </si>
  <si>
    <t>6B,(12)</t>
  </si>
  <si>
    <t>Spellforged Strikes</t>
  </si>
  <si>
    <t>Gain martial prowess for a short time after casting spells</t>
  </si>
  <si>
    <t>Gain +1 dice to weapon attack rolls until the end of the next round, cumulative and refreshing, when you cast a spell. While you are benefiting from these extra dice you may make an additional attack with a wielded weapon as part of a melee attack, splitting your dicepool as normal.</t>
  </si>
  <si>
    <t>18(W|U|R),(24)</t>
  </si>
  <si>
    <t>Swarmform</t>
  </si>
  <si>
    <t>Shapeshift into a cohesive swarm of small creatures</t>
  </si>
  <si>
    <t>Gain +3 bonus (defense roll only) vs. single target attacks and effects
Take -5 penalty (defense and soak) vs. area attacks and effects
Damage taken from single target attacks cannot exceed 10
You may disperse/condense into a swarm as a half action.</t>
  </si>
  <si>
    <t xml:space="preserve">14G,(18)
</t>
  </si>
  <si>
    <t>The Quick and The Dead</t>
  </si>
  <si>
    <t>boost dodge, take more damage when hit</t>
  </si>
  <si>
    <t>half Action. Gain RANK free hits on all dodge rolls. Your damage dampening is reduced by (2+4*RANK).</t>
  </si>
  <si>
    <t xml:space="preserve">14(U|B|R),(18)
</t>
  </si>
  <si>
    <t>Titan Armor</t>
  </si>
  <si>
    <t>Gain mitigation dice, slow down</t>
  </si>
  <si>
    <t>half Action. Gain 2 Armor soak per RANK for RANK*10 rounds. Your speed is halved. This is a body buff.</t>
  </si>
  <si>
    <t>4G,(6)
9G,(12)
14G,(18)
19G,(24)
24G,(30)</t>
  </si>
  <si>
    <t>Vengeful Protector</t>
  </si>
  <si>
    <t>Buff up to one ally, attacks on them provoke from you</t>
  </si>
  <si>
    <t>Simple action, buff an ally within 30 ft. Attacks that target that ally provoke an opportunity attack from you (Only creatures that you threaten provoke opportunity attacks from you).</t>
  </si>
  <si>
    <t>12W,(18)</t>
  </si>
  <si>
    <t>Flaw</t>
  </si>
  <si>
    <t>Blindness</t>
  </si>
  <si>
    <t>You are blind</t>
  </si>
  <si>
    <t>You are blind. Whenever the GM deems that this flaw impacts a scene they may award you 1 LUCK.</t>
  </si>
  <si>
    <t>0</t>
  </si>
  <si>
    <t>WURBG,(0)</t>
  </si>
  <si>
    <t>Maneuver</t>
  </si>
  <si>
    <t>All in</t>
  </si>
  <si>
    <t>Burn initiative for a powerful strike</t>
  </si>
  <si>
    <t>Spend the rest of your initiative as part of an attack. Gain +1 free hit for every (10) spent in this way, rounding up.
_________________
Instead for every (9) spent
_________________
Instead for every (8)</t>
  </si>
  <si>
    <t>5/10/15</t>
  </si>
  <si>
    <t>7R,(9)
14R,(18)
20R,(27)</t>
  </si>
  <si>
    <t>Ritual</t>
  </si>
  <si>
    <t>Arcane Mark</t>
  </si>
  <si>
    <t>Put a magic mark on something</t>
  </si>
  <si>
    <t xml:space="preserve">Place an invisible magical mark on an object after 1 minute of casting. The mark is not invisible to you, and up to (cast stat) others of your choice present upon casting. The mark may be viewed normally with Perceive Magic). </t>
  </si>
  <si>
    <t>1(W|U),(6)</t>
  </si>
  <si>
    <t>Arcane Rush</t>
  </si>
  <si>
    <t>Make a charge, if you connect cast a single target spell</t>
  </si>
  <si>
    <t>Make a charge attack. If the attack deals damage you may cast a single target spell on the charge victim or a single target spell on yourself.</t>
  </si>
  <si>
    <t>7R,7G,(18)</t>
  </si>
  <si>
    <t>Assisted Escape</t>
  </si>
  <si>
    <t>Target an ally, they may move up to their movement speed.  After moving, apply temp hp.</t>
  </si>
  <si>
    <t>Target ally may move up to their walking speed, after moving they gain 1 temp hp. half action.</t>
  </si>
  <si>
    <t xml:space="preserve">2W,(3)
</t>
  </si>
  <si>
    <t>Avalanche of Blades</t>
  </si>
  <si>
    <t>Flurry of attacks until missing</t>
  </si>
  <si>
    <t>(10) Make a melee attack, if this attack hits make another attack at a cumulative -4 penalty to all rolls against the same target, repeat.
__________________
Instead at a cumulative -3 penalty</t>
  </si>
  <si>
    <t>25/40</t>
  </si>
  <si>
    <t>16(W|R),(21)
24(W|R),(30</t>
  </si>
  <si>
    <t>Avatar of Might</t>
  </si>
  <si>
    <t>+n/+x trample</t>
  </si>
  <si>
    <t>Up to cha friendly targets get +(cast stat/2) on all dicepools involving STR or BOD, +(cast stat /2) DV on weapon attacks that scale with STR, ignore enemies' full defense. For each subject this benefit expires at the end of their turn. Extra action (10)</t>
  </si>
  <si>
    <t>24G,(30)</t>
  </si>
  <si>
    <t>Balance the Scales</t>
  </si>
  <si>
    <t>Equalize wounds with ally</t>
  </si>
  <si>
    <t xml:space="preserve">(Touch) Equalize wounds with one ally. If there are an odd number of physical and/or nonlethal wounds you choose who receives the odd numbered wound. 
</t>
  </si>
  <si>
    <t>9(W|G),(18)</t>
  </si>
  <si>
    <t>Blade Barrier</t>
  </si>
  <si>
    <t>Produce a wall of blades that provide cover and harm those crossing it</t>
  </si>
  <si>
    <t>Produce a contiguous wall of whirling blades and weapons that fills (AGI/2) 5ft cubes. Creatures that end the round inside or move into the wall are subject to a normal melee attack using the stats of a weapon you are currently wielding. The wall lasts until the end of your next turn. You may spend your Extra action to extend the duration of the wall until the end of your turn. You may only have one Blade Barrier active at a time. The Blade Barrier provides cover.</t>
  </si>
  <si>
    <t>10W,(21)</t>
  </si>
  <si>
    <t>Blinding Bulwark</t>
  </si>
  <si>
    <t>Blocking enemies has a chance to blind them (REWORK PENDING)</t>
  </si>
  <si>
    <t>Spend (5) on block to roll a CHA DV attack with spellcasting or weapon skill vs. attacker's mental resist. Target soaks with mental soak and is blinded for a number of rounds equal to the damage the attack would do.</t>
  </si>
  <si>
    <t>7W,(9)</t>
  </si>
  <si>
    <t>Blinding Strike</t>
  </si>
  <si>
    <t>Attack to blind a target</t>
  </si>
  <si>
    <t>Make an attack with eDV = weapon DV
Phys res
Armor Soak 
0: no effect
1: the next attack made against the target before the end of the next round benefits from advantageous ground
5: all attacks made against the target before the end of the next round benefit from superior ground
9+: the target is blinded until the end of the next round
_____________
eDV = weapon DV + 2
_____________
eDV = weapon DV + 4</t>
  </si>
  <si>
    <t>5/15/25</t>
  </si>
  <si>
    <t>4W,(6)
12W,(15)
19W,(24)</t>
  </si>
  <si>
    <t>probably too cheap</t>
  </si>
  <si>
    <t>Blink</t>
  </si>
  <si>
    <t>Tactical Teleportation</t>
  </si>
  <si>
    <r>
      <rPr>
        <b/>
        <sz val="10"/>
        <rFont val="Arial"/>
        <family val="2"/>
      </rPr>
      <t>Extra action</t>
    </r>
    <r>
      <rPr>
        <sz val="10"/>
        <color rgb="FF000000"/>
        <rFont val="Arial"/>
      </rPr>
      <t>, teleport up to your 30ft to a square within line of sight. The next use of this ability costs 10/1/0 more stamina. The stamina cost of this ability decreases by 1 at the end of the round.</t>
    </r>
  </si>
  <si>
    <t>30-45-60</t>
  </si>
  <si>
    <t xml:space="preserve">7U,(15)
10U,(21)
13U,(27)
</t>
  </si>
  <si>
    <t>Blood for Blood</t>
  </si>
  <si>
    <t>Spend health to boost the damage of a successful hit</t>
  </si>
  <si>
    <t>Nonaction. After hitting with a weapon attack you may spend 1 health to increase the (e)DV of the attack by 2. You may only do this once per attack.</t>
  </si>
  <si>
    <t>9B,(18)</t>
  </si>
  <si>
    <t>Bloom Field</t>
  </si>
  <si>
    <t>Spawn and manipulate blooms for battlefield options</t>
  </si>
  <si>
    <t xml:space="preserve">half action: Spawn (BOD) buds on the ground within 50ft in unoccupied spaces. Buds die if you go 100ft from them or one minute passes since a function of this ability is activated.
Extra action: Command one or all buds (same command)
- Spawn bramble patch: Creates 3 5ft boxes centered on the bud. The brambles are 5ft high and cost double movement for enemies. Allies move normally through the brambles. The brambles grant total cover. This causes the bud to expire.The brambles die when buds would die.
- Ensnare: Bud rolls attack (spellcasting or weapon skill) against enemy (dodge block parry), enemy soaks with physical soak and upon failure cannot move or make attacks of opportunity for eDV duration, or unitl they take a full action to free themselves. Buds use your weapon skill or spellcasting dicepool and have DV of 4+ STR. You can target the same creature with multiple buds, in which case the swarming rules apply (each bud past the first does not generate another attack, instead increasing the dicepool by +3)
- Teleport: Teleport to a spot adjacent to any bud, you may only do this starting from adjacent to a bud. This does not consume the bud.
half action or (5): Create a bud on your location and teleport as above. 
</t>
  </si>
  <si>
    <t>25</t>
  </si>
  <si>
    <t>9G,(18)</t>
  </si>
  <si>
    <t>Bola Arrow</t>
  </si>
  <si>
    <t>Grapple, trip, disarm with arrow</t>
  </si>
  <si>
    <t>Grapple, trip, disarm with arrow as part of an attack, don't gain net hits on damage.
___________
Gain half net hits on damage
___________
Gain all net hits on damage</t>
  </si>
  <si>
    <t>10/20/30</t>
  </si>
  <si>
    <t>Stance</t>
  </si>
  <si>
    <t>Bolstering Momentum</t>
  </si>
  <si>
    <t>After a successful attack, activate a buff as a Extra action.</t>
  </si>
  <si>
    <t>If you successfully hit with a weapon attack this turn you may activate a single buff as a nonaction.</t>
  </si>
  <si>
    <t>14(W|U|B),(18)</t>
  </si>
  <si>
    <t>Breathstealing Blow</t>
  </si>
  <si>
    <t>forces save vs. silence</t>
  </si>
  <si>
    <t>Make an attack with eDV = weapon DV -4
Phys res
Armor Soak 
0: no effect
1: the target is silenced on its next turn
5: the target is silenced until the end of the round
9: the target is silenced until the end of the next round
______
eDV = weapon DV -2
______
eDV = weapon DV</t>
  </si>
  <si>
    <t>4W,(9)
9W,(18)
13W,(27)</t>
  </si>
  <si>
    <t>Burnout</t>
  </si>
  <si>
    <t>Roll an init die twice, lose access to that init die for the following round. 2 round cooldown.</t>
  </si>
  <si>
    <t>Roll an init die twice, lose acces to that init die for the following round</t>
  </si>
  <si>
    <t>7R,(9)</t>
  </si>
  <si>
    <t>Butterknifing</t>
  </si>
  <si>
    <t>Improved sunder</t>
  </si>
  <si>
    <t>(5) as an additional cost on an attack against an inanimate or attended object. Treat the object's barrier rating as 5 lower.
____________________
(1) As an additional cost
____________________
(0) As an additional cost. This ability funcitonally becomes an optional passive.</t>
  </si>
  <si>
    <t>Clarion Call</t>
  </si>
  <si>
    <t>Grant allies option to take extra action when downing an enemy</t>
  </si>
  <si>
    <t>Nonaction after your attack renders an opponent unconscious
All allies within CHA*5 ft may spend (5) and make a single attack or move up to their speed, this movement does not count towards the round's max movement.</t>
  </si>
  <si>
    <t>16W,(21)</t>
  </si>
  <si>
    <t>Commander's Strike</t>
  </si>
  <si>
    <t>Command an ally to attack</t>
  </si>
  <si>
    <t>full Action: One ally within CHA*10 ft may make an attack.</t>
  </si>
  <si>
    <t>60</t>
  </si>
  <si>
    <t>5W,5R,(21)</t>
  </si>
  <si>
    <t>Contingency</t>
  </si>
  <si>
    <t>Invest luck into holding spell until chosen trigger</t>
  </si>
  <si>
    <t>Spend 1 Luck, you can’t regain this point of luck while you have an active contingency. Cast a spell to be your contingency, noting your current dicepool and other parameters, resisting drain when creating this contingency. Set a condition under which the contingency will trigger...</t>
  </si>
  <si>
    <t>10U,(21)</t>
  </si>
  <si>
    <t>Counter Charge</t>
  </si>
  <si>
    <t>When an enemy is charging, you may charge to intercept.</t>
  </si>
  <si>
    <t>(10) when an enemy makes a charge attack, charge the enemy during their movement, attack them, on hit also make an opposed STR check, on success the enemy stops moving and does not get to attack.</t>
  </si>
  <si>
    <t>4W,(6)</t>
  </si>
  <si>
    <t>Counterspell</t>
  </si>
  <si>
    <t>(10) as interrupt, attempt to counter a spell</t>
  </si>
  <si>
    <t>(10) as interrupt, attempt to counter a spell. Roll Cast stat + spellcasting skill + other bonuses vs. the spellcaster's roll in place of a normal resistance check.</t>
  </si>
  <si>
    <t>7U,(9)</t>
  </si>
  <si>
    <t>Cratering Charge</t>
  </si>
  <si>
    <t>AoE impact on a charge</t>
  </si>
  <si>
    <t>(5) in addition to your charge, make a secondary melee attack at STR+2 DV against all adjacent targets, full dice pool vs. each target.
___________________
STR + 4 DV
___________________
STR + 6 DV</t>
  </si>
  <si>
    <t>7(R|G),(9)
14(R|G),(18)
20(R|G),(27)</t>
  </si>
  <si>
    <t>Crushing Descent</t>
  </si>
  <si>
    <t>Bonus for attacks made while falling</t>
  </si>
  <si>
    <t>Make a melee attack while falling or diving. Gain.+1 die per 10 fallen as part of the action. Capped at your BOD</t>
  </si>
  <si>
    <t>6(W|G),(12)</t>
  </si>
  <si>
    <t>Dancing Weapon</t>
  </si>
  <si>
    <t>enchant a weapon to float and attack enemies</t>
  </si>
  <si>
    <t xml:space="preserve">half action, or (5) after attacking with a melee weapon. Release one held melee weapon and choose an enemy, the weapon pursues and attacks that enemy until the end of the round. The weapon acts on your turn, has a fly speed of 30' with perfect maneuverability, uses your weapon skill for its attacks (benefits from tradition match but not your agility), and deals damage as if you were wielding it. At the end of the round the weapon moves 30' towards you, dropping where it ends its movement if you do not have an open hand to grab it as a nonaction, or if it fails to reach you. </t>
  </si>
  <si>
    <t>12W,(24)</t>
  </si>
  <si>
    <t>Deflecting Dodge</t>
  </si>
  <si>
    <t>Redirect attack that missed you to adjacent valid target.</t>
  </si>
  <si>
    <t>Spend (5) to redirect an attack that you succesfully dodged to an adjacent valid target. The new target must resist the original attack roll, damage value and any other related effects.
______
Spend (1)</t>
  </si>
  <si>
    <t>5/15</t>
  </si>
  <si>
    <t>4R,(9)
9R,(18)</t>
  </si>
  <si>
    <t>Desert Tempest</t>
  </si>
  <si>
    <t>Twirl around the battlefield slicing foes as you move</t>
  </si>
  <si>
    <t>(10) As part of this manuever move up to your speed. You may make a single melee attack against each enemy you become adjacent to; you may not attack the same foe more than once during this manuever.
_________
(5)</t>
  </si>
  <si>
    <t>20/40</t>
  </si>
  <si>
    <t>16(W|R),(21)
24(W|R),(30)</t>
  </si>
  <si>
    <t>Desperate Gambit</t>
  </si>
  <si>
    <t>take off turn action as if previously readied</t>
  </si>
  <si>
    <t>(20) perform an action as an interrupt as if it were readied.
_______________________
(15)</t>
  </si>
  <si>
    <t>14R,(18)
20R,(27)</t>
  </si>
  <si>
    <t>Devour Essence</t>
  </si>
  <si>
    <t xml:space="preserve">Absorb some energy from a dying / recently slain foe
</t>
  </si>
  <si>
    <t xml:space="preserve">full action, touch, targets a dead or dying creature. A dying creature rolls BOD vs. WIL to resist, failure or tie results in its death. This maneuver automatically succeeds against a target that has been dead for up to (YOUR BOD) rounds, on more rounds than that no effect. Heal 1 stamina, if at full stamina heal 1 health, if at full health and stamina, gain 1 temporary point of health/stam that is lost first. This point lasts for (Creature's BOD) hours. </t>
  </si>
  <si>
    <t>2B,2(B|G),(9)</t>
  </si>
  <si>
    <t>Discorporation</t>
  </si>
  <si>
    <t>Avert death, reform later</t>
  </si>
  <si>
    <t>Spend all your LUK when you would die. If your spent LUK exceeds the damage you died by you discorporate and return next (time of day) at full health at a nearby safe location.</t>
  </si>
  <si>
    <t>7B,(30)</t>
  </si>
  <si>
    <t>Disperse into Mist</t>
  </si>
  <si>
    <t>Disperse into mist in response to taking a blow</t>
  </si>
  <si>
    <t>Spend (10) as a nonaction after taking damage from an attack. You disperse into mist and are untargetable until the start of your next turn, or the start of the next round (your choice). While dispersed you cannot take actions or affect other creatures, objects, or terrain (you may still move).</t>
  </si>
  <si>
    <t>5G,(21)</t>
  </si>
  <si>
    <t>Distant Echoes</t>
  </si>
  <si>
    <t>Launch projectile, sense general surroundings near projectile</t>
  </si>
  <si>
    <t>Extra action - you gain blindsense 10ft around the impact point of the projectile until the end of the turn
half action - until the end of next round.
____________
Extra action - until end of round
half action - until end of next round</t>
  </si>
  <si>
    <t>15/25</t>
  </si>
  <si>
    <t>6(W|G),(12)
10(W|G),(21)</t>
  </si>
  <si>
    <t>Divert Attention</t>
  </si>
  <si>
    <t>half action: roll to stealth as if you had moved</t>
  </si>
  <si>
    <t>half action: you may roll to stealth as if you had moved. This ability does not fulfill any other conditions required for stealthing.
_______________
extra action</t>
  </si>
  <si>
    <t>10/60</t>
  </si>
  <si>
    <t>3G,(12)
7G,(27)</t>
  </si>
  <si>
    <t>Drink Their Tears</t>
  </si>
  <si>
    <t>Gain bonus for enemies that have recently taken damage</t>
  </si>
  <si>
    <t xml:space="preserve">half action
Gain +1 dice to attack actions for each enemy in LoS that has taken damage in the past round. This lasts until the end of the next round. </t>
  </si>
  <si>
    <t>2R,2G,(6)</t>
  </si>
  <si>
    <t>Elemental Discharge</t>
  </si>
  <si>
    <t>Discharge weapon buff, boost power of one attack</t>
  </si>
  <si>
    <t>Discharge a weapon buff as part of an attack action with one or more weapons. All attacks made during this attack action retain the elemental damage type of the discharged buff , have +1DV, and strike adjacent targets at -5 DV. (full action)</t>
  </si>
  <si>
    <t>WUBRG,(18)</t>
  </si>
  <si>
    <t>Emit Shockwave</t>
  </si>
  <si>
    <t>Close range conal AoE with melee weapon</t>
  </si>
  <si>
    <t>Complex action. Make a conal AoE ranged attack with a melee weapon (cone radius = 2x reach with that weapon) at -3 DV. This attack is resisted with Dodge/Physical soak.</t>
  </si>
  <si>
    <t>12G,(18)</t>
  </si>
  <si>
    <t>ethereal Spinerak</t>
  </si>
  <si>
    <t>half Action. Until end of encounter, an ally gains the power to fight ethereal andincoporeal creatures.  you may use this maneuver as an interrupt (5); if you do so, you cannot use this ability again for 24-3*WIL hours. (deprecated, very conditional and weird format)</t>
  </si>
  <si>
    <t>half Action. Until end of encounter, an ally gains the power to fight ethereal, incoporeal,  creatures.  You may use this maneuver as an interrupt (5). Once you trigger this ability it cannot be used again for 24-3*WIL hours.</t>
  </si>
  <si>
    <t>6G,(12)</t>
  </si>
  <si>
    <t>Exposing Smite</t>
  </si>
  <si>
    <t>Leave a target more vulnerable to radiant damage</t>
  </si>
  <si>
    <t>(5) Make an attack. If the target fails to fully soak this attack it gains (CAST STAT/2) vulnerability to radiant damage until the end of your next turn.</t>
  </si>
  <si>
    <t>Fade Strike</t>
  </si>
  <si>
    <t>Make an attack, move after the attack</t>
  </si>
  <si>
    <t>Make an attack at -3 DV. Shift up to half your speed after the attack.</t>
  </si>
  <si>
    <t>3U,(12)</t>
  </si>
  <si>
    <t>Feigned opening</t>
  </si>
  <si>
    <t>Fake an opening, focusing your reactions upon the riposte to come</t>
  </si>
  <si>
    <t xml:space="preserve">As a Extra action you may start to feign an opening. While you are feigning you do not roll your REACTION for passive defense, dodge or block. Add REACTION to all riposte rolls when feigning. </t>
  </si>
  <si>
    <t>Feint</t>
  </si>
  <si>
    <t>(5) attack, special roll w/ various other contributing skills, if successful + NET HITS to next attack against target</t>
  </si>
  <si>
    <t>Make an attack as a half action against a target that is perceiving you and add your legerdemain skill to the dice pool. This attack does no damage if successful. Instead, add your net hits (up to AGI) to the dice pool of the next attack you make against the same target before the end of your next turn.</t>
  </si>
  <si>
    <t>4(W|U),(6)</t>
  </si>
  <si>
    <t>Fiery Rebirth</t>
  </si>
  <si>
    <t>Rise empowered after dying</t>
  </si>
  <si>
    <t>On death, spend all your LUCK. You rise on the start of the next round, healing each of stam/drain/health up to 2x(spent LUCK) if they were below it. For the next 10 rounds you gain 1 temp hp at the start of each round, you have a fly speed equal to your movement speed, you have (CHA*5/2) radius fire damage aura that enemies must soak your (CAST STAT*2) in fire damage at the end  of round. You may do fire damage with your attacks rather than the normal damage type if desired. Lastly, you also have weakness to cold 3 for the duration.</t>
  </si>
  <si>
    <t xml:space="preserve">19R,(24)
</t>
  </si>
  <si>
    <t xml:space="preserve">Fight me </t>
  </si>
  <si>
    <t>Allow your actions to provoke from target opponent, they provoke if they attack you, otherwise get a free intimidate vs. them</t>
  </si>
  <si>
    <t>Extra action: Target opponent within your reach whose reach you are within. you provoke an opportunity attack from the target. If they make the attack they provoke an opportunity attack from you. If they choose not to make the attack (lacking initiative or otherwise being unable to take such an action, being unaware of you etc doesn't count) you make an intimidate check against them as a nonaction.</t>
  </si>
  <si>
    <t>7G,(9)</t>
  </si>
  <si>
    <t>FIRE EVERYTHING</t>
  </si>
  <si>
    <t xml:space="preserve">Spend all your initiative. At the end of the round regain as much initiative as you spent on this ability. All initiative costs are reduced by (2) (including starting a turn) until the end of the round. You may activate this ability at any time as a nonaction, but only once per round.  </t>
  </si>
  <si>
    <t>24R,(30)</t>
  </si>
  <si>
    <t>First Strike</t>
  </si>
  <si>
    <t>Attack an enemy that enters your reach</t>
  </si>
  <si>
    <t>Spend (10)/(5)/(1) when an enemy enters your reach. Make an attack against then.</t>
  </si>
  <si>
    <t>10/15/20</t>
  </si>
  <si>
    <t>Foil</t>
  </si>
  <si>
    <t>Spend (10) or 1L in melee, if enemy cannot pay (10) init they lose the action they were attempting.</t>
  </si>
  <si>
    <t>Spend (10) or 1L in melee, if enemy cannot pay (5) init they lose the action they were attempting. (needs balancing)</t>
  </si>
  <si>
    <t>Folded Time</t>
  </si>
  <si>
    <t xml:space="preserve">2L, pull yourself from the future for 1 round, next round disappear as you are pulled back for a round. </t>
  </si>
  <si>
    <t>24U,(30)</t>
  </si>
  <si>
    <t>For the Greater Good</t>
  </si>
  <si>
    <t>Willing allies may take damage to heal the aura user</t>
  </si>
  <si>
    <t>Extra Action, target willing ally within the aura loses 1 HP or 2 Stam and you gain 1HP or 2 Stam.</t>
  </si>
  <si>
    <t>Force an opening</t>
  </si>
  <si>
    <t>pay (5) on top of your attack, full defense does not apply vs. this attack, enemies may spend (5) to prevent this for themselves</t>
  </si>
  <si>
    <t>(5) the next attack you make ignores an opponent's Full Defense. enemies may spend (5) to negate this per use.</t>
  </si>
  <si>
    <t>14(W|R),(18)</t>
  </si>
  <si>
    <t>Frenetic Boost</t>
  </si>
  <si>
    <t>Coinflip init boost</t>
  </si>
  <si>
    <t>Flip a coin before rolling initiative. If heads, gain +1 init die this round. If tails, -1 init die this round.</t>
  </si>
  <si>
    <t xml:space="preserve">6U,6R,(15)
</t>
  </si>
  <si>
    <t>Get Over Here</t>
  </si>
  <si>
    <t>Pull an enemy towards you</t>
  </si>
  <si>
    <t>Make a melee atttack with 30ft reach at -3 DV. On a successful damage the target is also pulled to an adjacent square by the shortest direct path possible.</t>
  </si>
  <si>
    <t>Go Home You're Dunked</t>
  </si>
  <si>
    <t xml:space="preserve">Make an attack that bypasses armor and knocks wearied foes unconscious. </t>
  </si>
  <si>
    <t xml:space="preserve">full action. Make a weapon attack at  eDV = weapon DV - 5. Target soaks with physical soak. If the target is missing half or more of their stamina and they fail to fully soak this attack then this maneuver instead deals stamina damage sufficient to knock the target unconscious. </t>
  </si>
  <si>
    <t>7W,(15)</t>
  </si>
  <si>
    <t>Goad</t>
  </si>
  <si>
    <t>Extra action: Target opponent within your reach whose reach you are within. The next action they take this turn that does not include you as a target provokes an opportunity attack from you. If you attack them, you provoke an opportunity attack from them. If they choose not to make the attack (lacking initiative or otherwise being unable to take such an action, being unaware of you etc doesn't count) you make an intimidate check against them as a nonaction.</t>
  </si>
  <si>
    <t>Gouge</t>
  </si>
  <si>
    <t>Attack that triggers a bleed that hurts on taking actions</t>
  </si>
  <si>
    <t>Make an attack at eDV = weapon DV. This attack is soaked by physical soak. The target bleeds for unsoaked eDV/2 rounds. While bleeding the target takes 2 health damage if they take a move or half action, 4 if they take a full action. Magical healing or a medicine check vs. the remaining turns removes the bleed.</t>
  </si>
  <si>
    <t>Grand Bend</t>
  </si>
  <si>
    <t xml:space="preserve">Line attack AoE shot
</t>
  </si>
  <si>
    <t>Make a line attack (AoE) with your ranged weapon at -6 dicepool out to the end of your weapon's short range. Take Aim bonuses are doubled for this attack.</t>
  </si>
  <si>
    <t>7(R|G),(15)</t>
  </si>
  <si>
    <t>Ground shifting leap</t>
  </si>
  <si>
    <t>Leap to a target, cratering the earth in an aoe around</t>
  </si>
  <si>
    <t>As a full action make a jump, this is treated as a running jump even if you started from a standstill. Upon landing make a Strongman check against the ground.
if you surpass its barrier rating you break through and create a HITS/4 *5ft radius hole centered on you, otherwise nothing happens.
Malleable surface: if you fail to surpass the barrier rating (possibly due to the dirt ground being arbitrarily impassable vs. basic attacks for instance) you create a HITS/2 *5ft radius dent that is treated as difficult terrain and force all creatures in the area to make Gymnastics checks against half your STR check or fall prone.</t>
  </si>
  <si>
    <t>Guardbreak</t>
  </si>
  <si>
    <t>Attack with a bonus vs. guarding targets</t>
  </si>
  <si>
    <t>Make an attack at -1DV. Gain +2 automatic hits if the target actively blocks this attack.</t>
  </si>
  <si>
    <t>9R,(18)</t>
  </si>
  <si>
    <t>Guide Fate</t>
  </si>
  <si>
    <t>Spend (5) to let an adjacent ally explode dice or reroll</t>
  </si>
  <si>
    <t>You have one fate reroll that you may trigger for an ally for (5) that functions the same a a reroll generated from spending luck. Whenever you would regain a point of luck, this fate reroll refreshes.</t>
  </si>
  <si>
    <t>16R,(21)</t>
  </si>
  <si>
    <t>Headsman</t>
  </si>
  <si>
    <t>Attacking technique vs. prone targets. Bonus damage</t>
  </si>
  <si>
    <t>(5) Make an attack with a melee weapon against a prone target. The dice rolled for this attack explode and the attack has +2 DV.</t>
  </si>
  <si>
    <t>4B,(15)</t>
  </si>
  <si>
    <t>Herding assault</t>
  </si>
  <si>
    <t xml:space="preserve">Hit does reduced damage, force move your target NET HITS
</t>
  </si>
  <si>
    <t>Make an attack, net hits do not contribute to damage. This attack is soaked with physical soak. move your target NET HITS if the attack hits.</t>
  </si>
  <si>
    <t>4(U|G),(6)</t>
  </si>
  <si>
    <t>Hit the Deck</t>
  </si>
  <si>
    <t>Drop prone, reroll defense vs indirect AoE</t>
  </si>
  <si>
    <t xml:space="preserve">(5)You drop prone. Reroll a defense roll you just made against an indirect area attack, </t>
  </si>
  <si>
    <t>WUBRG,(6)</t>
  </si>
  <si>
    <t>Iceblock</t>
  </si>
  <si>
    <t>Immobilize yourself in protective ice</t>
  </si>
  <si>
    <t>(10) Immobilize yourself in a block of ice as an interrupt. The ice has (CAST STAT*2) health and uses your soak pool. The ice disperses when its health reaches zero or you spend a full action to dismiss it. Excess damage beyond the ice's health is dealt to you as normal.
While in the ice block you get 0 hits on dodge rolls and cannot take any physical actions.</t>
  </si>
  <si>
    <t>Inspire Perserverance</t>
  </si>
  <si>
    <t>Give one/some allies an extra roll to end ongoing effects</t>
  </si>
  <si>
    <t xml:space="preserve">1: full action, one ally within 30ft may reduce the magnitude of one standard ongoing negative effect by one stage. If the effect has no stages reduce the duration by one round. If the effect is a DoT with no duration reduce the intensity by 4.
2: As 1, except as a half action
3: As 2, except 2 stages / 2 rounds / intensity by 8. Also; full action,applies to up to CHA allies within ring.
</t>
  </si>
  <si>
    <t>10 per</t>
  </si>
  <si>
    <t xml:space="preserve">6W,(12)
</t>
  </si>
  <si>
    <t>Last Ditch Evasion</t>
  </si>
  <si>
    <t>Dodge an attack at all costs</t>
  </si>
  <si>
    <t>Trigger this ability as an interrupt at any time during the resolution of an attack you rolled dodge against, but before damage or other consequences have been applied. (Note: you may trigger this ability after you have rolled soak and know the resulting applied DV, but no later). You are treated as having fully dodged the attack. You may not benefit from active defenses until the end of your next turn. You may take no actions until the end of your next turn.</t>
  </si>
  <si>
    <t>3R,(15)</t>
  </si>
  <si>
    <t>Leaping Flame</t>
  </si>
  <si>
    <t>Poof, gone in thin air like a magic trick</t>
  </si>
  <si>
    <t>Trigger: a creature you are aware of within (twice your speed) resolves an attack against you.
(5) Teleport to a location adjacent to the triggering enemy.</t>
  </si>
  <si>
    <t>4W,4R,(12)</t>
  </si>
  <si>
    <t>Lend a Distraction</t>
  </si>
  <si>
    <t>(5) ally's next action doesn't provoke</t>
  </si>
  <si>
    <t>(5) to assist an ally with a Con check, producing a distraction for stealth purposes (hits as a penalty to opponent's dicepool), preventing distracted target from being able to take attacks of opportunity...</t>
  </si>
  <si>
    <t>7(W|R),(9)</t>
  </si>
  <si>
    <t>Looming Strike</t>
  </si>
  <si>
    <t>Enemy takes damage if it moves after being hit</t>
  </si>
  <si>
    <t>Make an attack. Net hits do not contribute to damage. When the enemy moves before the start of your next turn it must soak the modified DV including the net hits.
_______
The enemy must soak the modified DV each time it moves.</t>
  </si>
  <si>
    <t>15
25</t>
  </si>
  <si>
    <t>6R,6(B|R),(15)
9R,9(B|R),(24)</t>
  </si>
  <si>
    <t>Lunge</t>
  </si>
  <si>
    <t>Attacking technique with extra range and added movement. Bonus damage, cannot attempt active defense until start of next turn.</t>
  </si>
  <si>
    <t>At the start of a lunge you may move up to two squares in a straight line, this movement does not provoke attacks of opportunity. You are treated as charging for this attack (+2 dicepool). After attempting a lunge you may not attempt any active defense until the start of your next turn.</t>
  </si>
  <si>
    <t>4(B|R),(6)</t>
  </si>
  <si>
    <t>Make Time for That</t>
  </si>
  <si>
    <t>Spend 1 luck, gain 10 init, spend this only on red abilities</t>
  </si>
  <si>
    <t>Spend 1 luck, gain 10 init, spend this only on red abilities. Nonaction</t>
  </si>
  <si>
    <t>Manacleave</t>
  </si>
  <si>
    <t>Attack removes buff(s)</t>
  </si>
  <si>
    <t>Make an attack at -3 DV. Target soaks with mental soak. If damage is dealt one of the target's buffs (chosen randomly) ends. 
___________________________
Half net hits buffs are removed
___________________________
Net hits buffs are removed</t>
  </si>
  <si>
    <t>7W,(9) per</t>
  </si>
  <si>
    <t>Mirrored Edge</t>
  </si>
  <si>
    <t>Consecutive attacks generate additional attacks</t>
  </si>
  <si>
    <t xml:space="preserve">Make an attack with your weapon(s). Then make another attack for each consecutive turn beyond the first you have used this maneuver this round. (ex: third turn in a row, make three attacks). </t>
  </si>
  <si>
    <t>15R,(30)</t>
  </si>
  <si>
    <t>Mitigate Suffering</t>
  </si>
  <si>
    <t>Grant ally damage threshold or reduce damage they take.</t>
  </si>
  <si>
    <t>(1) as an interrupt: Increase an ally's damage threshold by 4 until the end of this turn.
1L as an interrupt: Halve the damage an ally takes from an attack. 
You may trigger any parts of this ability during damage calculation.</t>
  </si>
  <si>
    <t>My body as a shield</t>
  </si>
  <si>
    <t>(5) take a hit meant for an adjacent ally</t>
  </si>
  <si>
    <t>(5) When an adjacent ally would next be hit by an attack you are hit by that attack instead.</t>
  </si>
  <si>
    <t>Necropotence</t>
  </si>
  <si>
    <t>spend life, boost init</t>
  </si>
  <si>
    <t>Spend X life and X Drain when rolling initiative, you may reroll all dice of X or lower. Additionally you may pay 4 life and 2 Drain per (5) of the init cost of an action you otherwise do not have initiative for.</t>
  </si>
  <si>
    <t>14B,(18)</t>
  </si>
  <si>
    <t>Nightmare Blade</t>
  </si>
  <si>
    <t>Stab them in the MIND</t>
  </si>
  <si>
    <t>Make a melee attack at -6DV, the target resists with mental save instead of dodge/block/parry. Soaked with mental soak.</t>
  </si>
  <si>
    <t>10B,(21)</t>
  </si>
  <si>
    <t>Ninjutsu Decoy</t>
  </si>
  <si>
    <t>Set up a decoy at your position, turn invisible</t>
  </si>
  <si>
    <t>full action,make a stealth roll and leave behind a convincing decoy. Decoy fades after sustaining one hit. Enemies may see through the decoy with an (OPPOSED CHECK). (COOLDOWN)</t>
  </si>
  <si>
    <t xml:space="preserve">9(U|B),(18)
</t>
  </si>
  <si>
    <t>Noncommital Blow</t>
  </si>
  <si>
    <t>if this attack misses, regain a half action</t>
  </si>
  <si>
    <t>Make an attack, if it misses you regain a half action.</t>
  </si>
  <si>
    <t>Overreaching Parry</t>
  </si>
  <si>
    <t>Parry an attack targeting an ally within reach</t>
  </si>
  <si>
    <t>(5), roll parry for an attack targeting an ally who is within your reach. The ally uses the larger of your parry roll or their own defensive roll.</t>
  </si>
  <si>
    <t>Painful Precision</t>
  </si>
  <si>
    <t>Take 3 unresisted lethal damage to add one free hit to a roll</t>
  </si>
  <si>
    <t>Take 3 unresisted lethal damage to add one free hit to a roll, before dice are rolled.</t>
  </si>
  <si>
    <t>Phasing</t>
  </si>
  <si>
    <t>Pass through walls of varying thickness</t>
  </si>
  <si>
    <t>As a half action you may fully pass through thin materials and structures up to a few inches thick. Lead and other specific materials cannot be so bypassed. This increases the cost of subsequent phasings by 10 stamina, this cost decays by 1 at the end of each round down to a minimum of 0.
_____________________________________
As previous rank, except you may pass through up to a foot in thickness. Cost increase is 8 instead of 10
_____________________________________
As previous rank, except you may pass through up to 10'. Cost increase is 6 instead of 8
_____________________________________
As previous rank, except the cost increase is 4 instead of 6.
With all ranks, if you fail to fully traverse when phasing you are shunted back out to where you started, taking 2 lethal per foot of distance so displaced (rounded up).</t>
  </si>
  <si>
    <t>20/25/30/35</t>
  </si>
  <si>
    <t xml:space="preserve">6U,(12)
9U,(18)
12U,(24)
15U,(30)
</t>
  </si>
  <si>
    <t>Pile On</t>
  </si>
  <si>
    <t xml:space="preserve">Trigger: an ally sucessfully attacks an enemy you may spend (5) to make an attack on that enemy </t>
  </si>
  <si>
    <t>8W,(24)</t>
  </si>
  <si>
    <t>Pinning Strike</t>
  </si>
  <si>
    <t>Pin target to nearby surface, harder to remove the larger the weapon is.</t>
  </si>
  <si>
    <t>Make a weapon attack, net hits do not contribute to damage. If it hits the enemy is rooted to a nearby surface. Removing the pin takes a full action.
_____________________________________
As previous rank, except the target takes the intiial damage again on escaping.
_____________________________________
As previous rank, except you may target multiple adjacent enemies, Impaling them together instead of to a surface. Each victim of the pin must escape separately, their success does not affect the other victims.</t>
  </si>
  <si>
    <t>5/10/10</t>
  </si>
  <si>
    <t>4(R|B),(6) per</t>
  </si>
  <si>
    <t>Prescient Teleport</t>
  </si>
  <si>
    <t>Teleport anytime you damn well please</t>
  </si>
  <si>
    <t>(5) as a nonaction at any time. Resolve one of your teleportation abilities.</t>
  </si>
  <si>
    <t>19U,(24)</t>
  </si>
  <si>
    <t>Pro X</t>
  </si>
  <si>
    <t>Grant (+dice) protection from color</t>
  </si>
  <si>
    <t>Grant (+RANK) protection from color. Color selection is locked upon purchase of this ability. This benefit lasts for one minute or until you conffer Pro X on another target. half Action</t>
  </si>
  <si>
    <t>4W,(6) per</t>
  </si>
  <si>
    <t>Rain of Arrows</t>
  </si>
  <si>
    <t>You can attack an area with arrows</t>
  </si>
  <si>
    <t>You can target up to AGI continguous squares with simultaneous ranged attacks, roll one attack roll at -6 dicepool and apply it to each target.</t>
  </si>
  <si>
    <t>Rain of Steel</t>
  </si>
  <si>
    <t>Spend extra initiative, become a maelstrom of weaponry for one round</t>
  </si>
  <si>
    <t>full action. (5) All enemies within reach are subject to a melee attack from you at -5 dicepool. All enemies treat the area covered by your reach as difficult terrain. All enemies outside your reach that enter while Rain of Steel continues are subject to a single attack at -5. You are treated as on full parry while Rain of Steel persists. Rain of steel lasts until the end of the round.</t>
  </si>
  <si>
    <t>6W,8(W|R|G),(18)</t>
  </si>
  <si>
    <t>Reactive Block</t>
  </si>
  <si>
    <t xml:space="preserve">You may attempt a free block against enemies you have attacked in melee previously this round
</t>
  </si>
  <si>
    <t>Once per round you may attempt a block at (0) against an enemy you have attacked this round.</t>
  </si>
  <si>
    <t>Rebirth</t>
  </si>
  <si>
    <t>Touched willing creature is encapsulated in a protective cocoon to prepare for administering amplified healing spells.</t>
  </si>
  <si>
    <t>Touched willing creature is encapsulated in a protective cocoon. They can only be targeted by healing effects through the cocoon for the duration, which are at double efficiency. This maneuver may be triggered for a nonaction as part of administering a healing effect.
When inside the cocoon the creature is unconscious, unaware of its surroundings or the passage of time.
Cocoon duration: 1 minute
Cocoon barrier rating: 10
Cocoon Health: 2x CHA</t>
  </si>
  <si>
    <t>14(W|G),(27)</t>
  </si>
  <si>
    <t>Reckless Swing</t>
  </si>
  <si>
    <t>Take dice pool penalty to improve damage, or shave off enemy's dodge pool</t>
  </si>
  <si>
    <t>For every -2 penalty you take when attacking with this maneuver add +1 to the damage value of the attack, up to +AGI</t>
  </si>
  <si>
    <t>9(B|R),(12)</t>
  </si>
  <si>
    <t>Red Rover</t>
  </si>
  <si>
    <t>Group charge</t>
  </si>
  <si>
    <t xml:space="preserve">Make a charging attack. Allies can spend (10) to also make a charging attack as an interrupt. If you spend (10) the cost for allies joining the charge becomes (5). Resolve all attacks after you and all allies have moved. </t>
  </si>
  <si>
    <t>Redirect</t>
  </si>
  <si>
    <t>Spend (5) after counterspelling to redirect spell</t>
  </si>
  <si>
    <t>8U/R,(12)</t>
  </si>
  <si>
    <t>increase cost?</t>
  </si>
  <si>
    <t>Redirecting parry</t>
  </si>
  <si>
    <t xml:space="preserve">cause enemy to hit themselves with their weapon on a successful parry
</t>
  </si>
  <si>
    <t>(5) as part of attempting a parry. If your parry is successful the attacker must soak the unmodified DV of their weapon.</t>
  </si>
  <si>
    <t>2W,(6)</t>
  </si>
  <si>
    <t>Restorative Strike</t>
  </si>
  <si>
    <t>attack generates temp hp</t>
  </si>
  <si>
    <t>Make an attack with your weapon, net hits do not contribute to damage. Generate
1 / half net hits / net hits temp hp.</t>
  </si>
  <si>
    <t>4W,(9)
7W,(15)
10W,(21)</t>
  </si>
  <si>
    <t>Retalliatory Strike</t>
  </si>
  <si>
    <t>Retalliate when struck in melee</t>
  </si>
  <si>
    <t>(5) when hit, you may make an attack against the opponent that struck you in melee.</t>
  </si>
  <si>
    <t>7(W|B),(9)</t>
  </si>
  <si>
    <t>Revivify</t>
  </si>
  <si>
    <t>Spend luck, restore a recently deceased creature to life.</t>
  </si>
  <si>
    <t>Spend (2L), heal an ally for CAST STAT*2 without inflicting healing drain. This effect can be used on creatures that have died within the past round, returning them to life if the healing is sufficient to remove excess overflow. This effect requires you to be touching the target.</t>
  </si>
  <si>
    <t>9W,(18)</t>
  </si>
  <si>
    <t>Second Chance</t>
  </si>
  <si>
    <t>Spend luck points, rewind turn</t>
  </si>
  <si>
    <t>Spend 3L as an interrupt. Rewind your turn.</t>
  </si>
  <si>
    <t>3(U|R),(18)</t>
  </si>
  <si>
    <t>Second Wind</t>
  </si>
  <si>
    <t>Generate temp hp</t>
  </si>
  <si>
    <t>half action. Roll BOD + WIL. For every hit you gain 1 temp hp.</t>
  </si>
  <si>
    <t>4(W|G),(6)</t>
  </si>
  <si>
    <t>Shield Counter</t>
  </si>
  <si>
    <t>When an enemy strikes, bash him in the face first</t>
  </si>
  <si>
    <t>(5) when wielding a shield and an enemy in melee range is making an attack. Make an attack targeting that enemy, using your shield. The damage from the attack is the Target Number for the physical resist roll the enemy must make. If they fail the physical resist check their attack resolves as a miss.</t>
  </si>
  <si>
    <t>Shifting Synapse</t>
  </si>
  <si>
    <t>You may use your physical resist in place of your mental resist at a cost</t>
  </si>
  <si>
    <t>You may spend an additional (5) when rolling mental resistance to use your physical resistance instead.</t>
  </si>
  <si>
    <t>8U,8G,(21)</t>
  </si>
  <si>
    <t>Shunt the Sustained</t>
  </si>
  <si>
    <t>Move a sustained area effect</t>
  </si>
  <si>
    <t>As a complex action you may relocate a sustained spell</t>
  </si>
  <si>
    <t>12U,(21)</t>
  </si>
  <si>
    <t>Smite</t>
  </si>
  <si>
    <t xml:space="preserve">Your next successful attack is more damaging. </t>
  </si>
  <si>
    <t xml:space="preserve">Extra action, triggering this ability costs 1 drain. Your next successful attack before the end of the round has +4 DV. </t>
  </si>
  <si>
    <t>6(W|R|G),(12)</t>
  </si>
  <si>
    <t>Smothering Grapple</t>
  </si>
  <si>
    <t>Grapple vs. phys res</t>
  </si>
  <si>
    <t>Make a melee attack roll to grapple. 
Resist: Physical res
Soak: Physical soak
eDV = STR
1+ unsoaked eDV yields grapple</t>
  </si>
  <si>
    <t>2R,2G,(9)</t>
  </si>
  <si>
    <t>Spatial Slip</t>
  </si>
  <si>
    <t>boost dodge, teleport after dodge roll</t>
  </si>
  <si>
    <t>spend an additional (5) as part of a dodge. Gain +5 dice, after resolving the dodge you may trigger one of your Extra action teleportation abilities as a nonaction.</t>
  </si>
  <si>
    <t xml:space="preserve">9U,(18)
</t>
  </si>
  <si>
    <t>Spell Reflection</t>
  </si>
  <si>
    <t>Spend (5?10?) when successfully resisting a spell to redirect it</t>
  </si>
  <si>
    <t>Spend (5) when you successfully resist a direct spell to choose a new target for the spell, resolving it as if cast by the original caster.</t>
  </si>
  <si>
    <t>9(U|R),(12)</t>
  </si>
  <si>
    <t>Spellshank</t>
  </si>
  <si>
    <t>Deal reduced damage, possibly steal and cast spell target recently cast</t>
  </si>
  <si>
    <t xml:space="preserve">Make an attack at -3DV
If the attack deals damage you gain knowledge of all spells the target has cast in the past minute. Choose one of those spells. For the next minute you may cast that spell one time as if you knew it. You may only have one spell chosen by this ability at a time. The action for casting the spell is reduced by one step:
half action -&gt; nonaction
full action -&gt; half action
multi turn action -&gt; turn count decreases by 1
</t>
  </si>
  <si>
    <t>8U,8B,(21)</t>
  </si>
  <si>
    <t>Spellstrike</t>
  </si>
  <si>
    <t>spellcasting for weapon skill</t>
  </si>
  <si>
    <t>Nonaction. Pay 1 drain. You may use spellcasting in place of weapon skill for a single weapon attack</t>
  </si>
  <si>
    <t>6G,6W,(12)</t>
  </si>
  <si>
    <t>Spiritual Bastion</t>
  </si>
  <si>
    <t xml:space="preserve">Place a rune circle on the ground, you and allies standing within it gain benefits. </t>
  </si>
  <si>
    <t>Spend 1 Drain or 10 minutes. Place down a 15ft diameter rune circle. You and allies within gain (CHA/2) dice to all defenses while within the circle. Additionally, effects of mind affecting abilities are suppressed for you and allies within the circle. Extraplanar/some supernatural creatures (as defined by GM) cannot breach the circle.
A creature standing within the circle can spend a half action that provokes opportunity attacks to scuff the circle. A circle that has been scuffed 3 times is destroyed. Additionally a circle fails after 24 hours, or if you spend more than an hour outside of it.</t>
  </si>
  <si>
    <t>8W,(18)</t>
  </si>
  <si>
    <t>Spread shot</t>
  </si>
  <si>
    <t>You may attack multiple opponents as part of a single ranged attack</t>
  </si>
  <si>
    <t xml:space="preserve">Make a ranged attack against however many targets you choose in a 90 degree cone within your first range increment, splitting your dicepool among all targets.
</t>
  </si>
  <si>
    <t>2(R|G),(6)</t>
  </si>
  <si>
    <t>Spring up</t>
  </si>
  <si>
    <t>Stand up as Extra action</t>
  </si>
  <si>
    <t>Stand up as Extra action that does not provoke attacks of opportunity. All your jumps are treated as having a running start.</t>
  </si>
  <si>
    <t>4</t>
  </si>
  <si>
    <t>2(R|G),(3)</t>
  </si>
  <si>
    <t>Stalwart Vanguard</t>
  </si>
  <si>
    <t>You always go last during an initiative pass, gain (armor?)</t>
  </si>
  <si>
    <t>You may opt to act last in an initiative pass before initiative is rolled. If multiple creatures would act last, tiebreak as usual with actual initiative rolls, then REA and finally LUK. Gain +1 armor soak per rank until the start of the next initiative pass.</t>
  </si>
  <si>
    <t>30 per</t>
  </si>
  <si>
    <t>Stay death</t>
  </si>
  <si>
    <t>Target ally (gains + on atk and ignores one lethal blow) until next initiative roll.</t>
  </si>
  <si>
    <t>full action. One ally within (CHA*10 ft) gains 1 die on all attack rolls for 10 rounds. If an attack would reduce the subject to or below 0 hp, they are instead reduced to 1 hp (a subject that would be reduced to -4x BOD dies instantly and is not saved by this ability), if this occurs the die bonus ends. 
1L Trigger this ability as an interrupt.
These benefits last until the next initiative roll.</t>
  </si>
  <si>
    <t>7(W|B),(15)</t>
  </si>
  <si>
    <t>Stun Punch</t>
  </si>
  <si>
    <t>Make a melee attack, stun chance. Can be used in grapple.</t>
  </si>
  <si>
    <t>phys soak
0: no stun
1: target can either move or take other actions on its next turn, not both
9: target loses its next turn
15+: target is stunned until the end of its next turn</t>
  </si>
  <si>
    <t>Sunflask</t>
  </si>
  <si>
    <t>Prepare (number) heals at dawn, heals WHITE characters for more</t>
  </si>
  <si>
    <t>Prepare (WIL) flasks at dawn. A character who consumes a flask rolls 4xBOD (or the creator of the sunflask rolls first aid) and heals up to that many hits, taking drain as normal for magical healing. You gain +4 to the check if the recipient is a WHITE character.</t>
  </si>
  <si>
    <t xml:space="preserve">4W,(9)
</t>
  </si>
  <si>
    <t>Surge of Finality</t>
  </si>
  <si>
    <t>Make an attack when you would be knocked unconscious, if you kill the target that is knocking you unconscious negate the attack</t>
  </si>
  <si>
    <t>1L as an interrupt when you would be knocked unconscious. Make an attack against the enemy that would be knocking you unconscious. Wound penalties are doubled and become a bonus on this attack. If your attack knocks the enemy unconscious undo the damage their attack did to you.</t>
  </si>
  <si>
    <t>12W,(21)</t>
  </si>
  <si>
    <t>Surge of Resilience</t>
  </si>
  <si>
    <t>IRON HEART SURGE THE SUN</t>
  </si>
  <si>
    <t>(5) or Extra action, make another roll against a debilitating condition (i.e. stun) as if you were resisting it the first time. Success removes the condition.</t>
  </si>
  <si>
    <t>4(W|G),(9)</t>
  </si>
  <si>
    <t>Tactical Surge</t>
  </si>
  <si>
    <t>1L, use a white maneuver immediately as though it was an interrupt.</t>
  </si>
  <si>
    <t>Temporal Extortion</t>
  </si>
  <si>
    <t>Spend life, take your next turn</t>
  </si>
  <si>
    <t xml:space="preserve">Spend 4 life during your turn (nonaction), you act again after the end of this turn if you have the initiative to do so  </t>
  </si>
  <si>
    <t>12B,(15)</t>
  </si>
  <si>
    <t>Thunderous Impact</t>
  </si>
  <si>
    <t xml:space="preserve">Can attack multiple opponents at range with thrown heavy weapon. AOE = STR + (3 if weapon is 2h) + rank
Targeted area becomes difficult terrain if damage threshold is met. (Damage value + rank ≥ threshold)
</t>
  </si>
  <si>
    <t xml:space="preserve">(5) Can attack multiple opponents at range with thrown heavy weapon. AOE = (STR + (3 if weapon is 2h) + rank) ft
Targeted area becomes difficult terrain if damage threshold is met. (Damage value + rank ≥ threshold)
</t>
  </si>
  <si>
    <t>Time Dilation</t>
  </si>
  <si>
    <t>boost later init</t>
  </si>
  <si>
    <t>Next round, maximize all your initiative dice. You can spend 1 luck point to trigger this ability as an interrupt in response to the start of a round (before initiative is rolled).</t>
  </si>
  <si>
    <t>12U,(24)</t>
  </si>
  <si>
    <t>Toss</t>
  </si>
  <si>
    <t>toss creature, deal damage or enable ally to make attack</t>
  </si>
  <si>
    <t xml:space="preserve">1. You must have an enemy grappled or a willing adjacent ally
2. Make a ranged attack with 1(ranges)
3. If enemy, base damage = (?body). If ally, your net hits contribute to the dice pool on their attack
</t>
  </si>
  <si>
    <t>Trick shot</t>
  </si>
  <si>
    <t>Not bending bullets, but you can shoot around corners n such</t>
  </si>
  <si>
    <t>At one point during the trajectory of your projectile you may have it take up to one 90 turn.</t>
  </si>
  <si>
    <t xml:space="preserve">7(R|G),(9)
</t>
  </si>
  <si>
    <t>Triumphant Shout</t>
  </si>
  <si>
    <t>Mass intimidate on knockout/kill</t>
  </si>
  <si>
    <t>(5) as a nonaction after your attack renders a creature dead or disabled. You may attempt an intimidation check against all opponents that can see both you and the aforementioned victim.
_______________
This maneuver only costs (1)</t>
  </si>
  <si>
    <t>5/10</t>
  </si>
  <si>
    <t>7(R|G),(9)
14(R|G),(18)</t>
  </si>
  <si>
    <t>Twin Strike</t>
  </si>
  <si>
    <t>Hit simultaneously with two weapons</t>
  </si>
  <si>
    <t>(10) Make two attacks at full dice pool against single target. On one hit apply damage as normal. On two hits apply half the net hits of the lower net hit roll to the higher roll and apply that as damage..
__________________
This maneuver only costs (5)</t>
  </si>
  <si>
    <t>12(W|R),(15)
19(W|R),(24)</t>
  </si>
  <si>
    <t>Twist the Blade</t>
  </si>
  <si>
    <t>Followup attack if you strike an enemy that was not actively defending.</t>
  </si>
  <si>
    <t xml:space="preserve">Trigger: an enemy takes damage from your light weapon melee attack and was not actively defending. Spend (5) as a nonaction. Make another attack with the same weapon at half base DV, this attack cannot be actively defended against, this attack has 50% armor penetration.  
</t>
  </si>
  <si>
    <t xml:space="preserve">7B,(15)
</t>
  </si>
  <si>
    <t>Unsettle</t>
  </si>
  <si>
    <t>Startle an enemy out of their action, but they act swiftly afterwards</t>
  </si>
  <si>
    <t>half action. Target an enemy. The next half or full action they attempt before your next turn triggers an attack from you. This attack does no damage on a successful hit, instead negating their action. On their next turn the enemy gains 10 initiative (regardless of hit or miss).</t>
  </si>
  <si>
    <t>7(B|G),(15)</t>
  </si>
  <si>
    <t>Vanguard Strike</t>
  </si>
  <si>
    <t>You lead the attack, your allies becoming more effective at helping you focus a target down.</t>
  </si>
  <si>
    <t>Make a melee attack, net hits don't contributeto damage. The target is marked on hit and all allies attacking the marked target gain +1 hits when attacking the target. You may only have one target marked by vanguard strike at a time, striking a new target changes the target. The target is no longer marked at the end of the next round.</t>
  </si>
  <si>
    <t>12W,(15)</t>
  </si>
  <si>
    <t>Vault</t>
  </si>
  <si>
    <t>Target is enchanted with the powers of flight for the round</t>
  </si>
  <si>
    <t>half Action. One ally within (60 ft) gains a fly speed equal to their movement speed until the end of the round.</t>
  </si>
  <si>
    <t>8(U|R|B|W),(9)</t>
  </si>
  <si>
    <t>Limit to U?</t>
  </si>
  <si>
    <t>War stomp</t>
  </si>
  <si>
    <t>Attempt to knock enemies prone in an AoE</t>
  </si>
  <si>
    <t>Make a melee attack against a single grounded target resisted by Phys/Phys at -3 DV. On a hit the target falls prone.
If you have already damage an enemy this round, this ability can instead target all grounded targets within 15ft.</t>
  </si>
  <si>
    <t>Warden's Strike</t>
  </si>
  <si>
    <t xml:space="preserve">Attack reduces victim's initiative. </t>
  </si>
  <si>
    <t>Make an attack. Net hits do not contribute to damage. Deal net hits as initiative damage instead.  (REWORK PENDING)</t>
  </si>
  <si>
    <t>6W,6U,(15)</t>
  </si>
  <si>
    <t>Warning Blow</t>
  </si>
  <si>
    <t>Target must take active defense if able</t>
  </si>
  <si>
    <t>Make an attack with your weapon, the target must actively defend if able.</t>
  </si>
  <si>
    <t>5(U|R),5(U|G),5(R|G),(21)</t>
  </si>
  <si>
    <t>Weather the blow</t>
  </si>
  <si>
    <t>Spend initiative, gain damage dampening reactively against one hit</t>
  </si>
  <si>
    <t>(5) as an interrupt, gain damage dampening equal to your BODY against one attack.</t>
  </si>
  <si>
    <t>7(W|G),(9)</t>
  </si>
  <si>
    <t>Whirlwind attack</t>
  </si>
  <si>
    <t>Cleave 360</t>
  </si>
  <si>
    <t>You may attack any number of enemies in the one attack splitting your full dicepool among them. (Note that reach is an attack modifier and not innate to the dicepool, thus it is added to every attack after the dicepool has been split)
________________________
As previous rank, but you also gain the option to spend (10) Attack all enemies within reach.</t>
  </si>
  <si>
    <t>5, 10</t>
  </si>
  <si>
    <t xml:space="preserve">4(W|R|G),(6)
9(W|R|G),(12)
</t>
  </si>
  <si>
    <t>zurgo Smash!</t>
  </si>
  <si>
    <t>attack a random adjacent enemy at increased potency</t>
  </si>
  <si>
    <t>When threatening two or more enemies make an attack against a randomly determined target at +2 DV.</t>
  </si>
  <si>
    <t>3R,(12)</t>
  </si>
  <si>
    <t xml:space="preserve">Maneuver
</t>
  </si>
  <si>
    <t>Luck of the Hour</t>
  </si>
  <si>
    <t>spend init in place of luck</t>
  </si>
  <si>
    <t>You may spend (10) per (L) for abilities that cost (L)
 instead of their normal cost</t>
  </si>
  <si>
    <t xml:space="preserve">Maneuver </t>
  </si>
  <si>
    <t>Balance of Body and Soul</t>
  </si>
  <si>
    <t>Convert drain into health/stam, roll to purge a condition</t>
  </si>
  <si>
    <t>half action. You may spend 1 drain to heal 2 stamina or health. Make another roll against an ongoing condition, adding half your WIL or BOD (your choice) to the roll.</t>
  </si>
  <si>
    <t>3U,3G,(15)</t>
  </si>
  <si>
    <t>Manuever</t>
  </si>
  <si>
    <t>Mcguiver</t>
  </si>
  <si>
    <t>For better or for worse, things seem to unexplicably break or work when you mess with them</t>
  </si>
  <si>
    <t>You may attempt to fix or break mechanical and/or magical devices such as locks or crystal balls.  Who knows what will happen! (needs actual rules ffs)</t>
  </si>
  <si>
    <t xml:space="preserve">7(U|R),(9)
</t>
  </si>
  <si>
    <t>Revitalize</t>
  </si>
  <si>
    <t>Remove debuff on ally to trigger buff</t>
  </si>
  <si>
    <t>full action. Target ally rolls again against all ongoing debuffs, one at a time, adding the new roll against that debuff to all prior rolls made for resisting that debuff. Roll against one debuff at a time,  stopping if this ability causes a debuff to be removed or if all debuffs are rolled against once. If this ability removes a debuff the target gains +4 dice on the next action they take during their next turn.</t>
  </si>
  <si>
    <t>5W,5G,(21)</t>
  </si>
  <si>
    <t>Mark</t>
  </si>
  <si>
    <t>Bond of Pursuit</t>
  </si>
  <si>
    <t>Mark enemy, pursue and punish their ignorance of you in combat.</t>
  </si>
  <si>
    <t>As a Half action you may mark a target within (CHA*5)ft with your Bond of Pursuit. This mark persists for 24 hours or until the subject is slain. You may only have one subject marked at a time and cannot mark another while an older mark exists. 
When a subject bearing this mark within CHA*10ft of you moves, you may spend (1) as an interrupt to shift up to your movement speed or teleport if you such possess capabilities at least matching that of the subject. This movement must be towards the subject.
Rank 2: Marking a target is now an Extra action. Every instance of movement made by the subject provokes an Attack of Opportunity subject to your reach as normal. If you take this Attack of Opportunity you do not need to pay an additional (1) to pursue the marked target.
Rank 3: You may mark up to 2 targets. All Attacks of Opportunity and Pursuits cost (0).</t>
  </si>
  <si>
    <t>15/20/25</t>
  </si>
  <si>
    <t>7(W|R|G),(9)
 Per</t>
  </si>
  <si>
    <t>Vendetta</t>
  </si>
  <si>
    <t>Declare vendetta target, bonus vs. them, penalties vs. other targets. Delay on new vendetta target if you fail to slay current one.</t>
  </si>
  <si>
    <t>Nonaction. Spend (1) luck to declare a vendetta against a target within (RANGE). Gain 1 free hit on all attacks against that target while it is subject to your vendetta. It gains 1 free hit on all attacks against you while it is subject to your vendetta. Your vendetta ends when the target falls unconscious, you fall unconscious, or you spend (1) luck to change the target of your vendetta.</t>
  </si>
  <si>
    <t xml:space="preserve">7B,7(B|R),(18)
</t>
  </si>
  <si>
    <t>Metamagic</t>
  </si>
  <si>
    <t>Centering Technique</t>
  </si>
  <si>
    <t>By spending longer to cast a spell, you reduce the drain that spell has on you.  You gain the ability to cast a spell over multiple rounds.</t>
  </si>
  <si>
    <t>Complex Action. Begin centering to cast a spell on a later turn. Each consecutive turn that you center adds the following: WIL/2 to the drain dicepool up to a cap of 2*WIL, overload limit of the spell by 1 up to a total cap of CAST STAT+4. If you are subjected to an effect that would prevent you from using this ability then your current centering is lost.
Possessing this ability incurs a 2 drain cost on any spells cast without centering (Note this is an up front cost, not an overload value).</t>
  </si>
  <si>
    <t>WUBRG,(0)</t>
  </si>
  <si>
    <t>Cloudy Conjuration</t>
  </si>
  <si>
    <t>Create a fog cloud after casting a spell</t>
  </si>
  <si>
    <t xml:space="preserve">Overload: 4
After resolving the modified spell, create an opaque 5x5x5 fog cloud in or adjacent to the target area of the modified spell.
</t>
  </si>
  <si>
    <t>7(U|G),(15)</t>
  </si>
  <si>
    <t>Delay Spell</t>
  </si>
  <si>
    <t>Delay a spell's activation</t>
  </si>
  <si>
    <t>Choose a delay of at least one turn. On your turn after the chosen time has elapsed cast the spell as a nonaction. While a spell is delayed it counts as sustained. Overload +2</t>
  </si>
  <si>
    <t>12(R|U|W),(18)</t>
  </si>
  <si>
    <t>Delayed Enhancement</t>
  </si>
  <si>
    <t>You may delay the effects of a buff to begin at the start of the next round.</t>
  </si>
  <si>
    <t>You may delay the effects of a buff to begin at the start of the next round by spending a Extra action as part of the action of activating the buff effect.</t>
  </si>
  <si>
    <t>9(W|U|G),(12)</t>
  </si>
  <si>
    <t>Echoing spell</t>
  </si>
  <si>
    <t>Increase spell drain by 6, spell can be recast within one round as a nonaction on your turn</t>
  </si>
  <si>
    <t>You may Increase a spell's overload by 6.  If you do, the spell can be recast as a nonaction on your next turn, drain is not rolled for this recast.</t>
  </si>
  <si>
    <t xml:space="preserve">7U,7(W|U),(18)
</t>
  </si>
  <si>
    <t>price too low?</t>
  </si>
  <si>
    <t>Fork</t>
  </si>
  <si>
    <t>Cast a copy of a spell being cast</t>
  </si>
  <si>
    <t>Overload 6, copy this spell. The copied spell does not inherit Fork.</t>
  </si>
  <si>
    <t>Guiding Nimbus</t>
  </si>
  <si>
    <t>You may imbue your radiant attacks with lingering brilliance that enables allies to better strike the target</t>
  </si>
  <si>
    <t>Before rolling a radiant damage attack you may decrease your DV by 4. On a successful hit the target is illuminated with a Guiding Nimbus until the end of the round. Allies suffer no vision penalties to strike the target and gain superior ground when attacking targets afflicted with Guiding Nimbus.</t>
  </si>
  <si>
    <t>Irresistible Spell</t>
  </si>
  <si>
    <t>(5) as a cost when casting spell, this spell cannot be countered</t>
  </si>
  <si>
    <t>4G,(9)</t>
  </si>
  <si>
    <t>Lingering (SPELL SCHOOL)</t>
  </si>
  <si>
    <t>Sustained spells persist for up to RANK rounds after you stop sustaining them</t>
  </si>
  <si>
    <t>Replenishing spell</t>
  </si>
  <si>
    <t>Regain drain if you don't take any drain for a time after casting this spell</t>
  </si>
  <si>
    <t>Overload: 2. One minute after casting this spell, if you have not taken any additional drain, replenish all but two of the drain lost to casting the Replenished Spell.</t>
  </si>
  <si>
    <t>Sculpt Spell</t>
  </si>
  <si>
    <t>Reshape AoEs. Increase drain by 2</t>
  </si>
  <si>
    <t>For spells with an AOE, you may shape the radial aoe into either a a cylinder (CS/4*STAT wide, 3CS/4*STAT high), cone (CS*STAT ft.), line (4*CS*STAT), ball (CS/2  * STAT radius), or 4 cubes (CS/4 * STAT ft.).
Incurs 2 overload</t>
  </si>
  <si>
    <t>metamagic</t>
  </si>
  <si>
    <t>Subtle Magic</t>
  </si>
  <si>
    <t>Stealth cast</t>
  </si>
  <si>
    <t>6B,(6)</t>
  </si>
  <si>
    <t>Tactical Spell</t>
  </si>
  <si>
    <t>Your area spellcasts fold around specified targets, ignoring them</t>
  </si>
  <si>
    <t>adds +2 drain, any number of subjects that would be subject to the aoe spell being augmented can be designated as ignored by the spell</t>
  </si>
  <si>
    <t>9U,(18)</t>
  </si>
  <si>
    <t>Unstable Artifice</t>
  </si>
  <si>
    <t>Unsoaked drain from spells can trigger spell duplication</t>
  </si>
  <si>
    <t>Whenever you take X drain from spellcasting roll a dicepool of X size. For every hit that results copy the triggering spell. These copies do not incur drain.</t>
  </si>
  <si>
    <t>8U,8R,8(U|R),(30)</t>
  </si>
  <si>
    <t xml:space="preserve">Metamagic </t>
  </si>
  <si>
    <t>Reach Spell</t>
  </si>
  <si>
    <t>You may extend the reach of a spell</t>
  </si>
  <si>
    <t>Add +3 overload to double the range of the cast spell</t>
  </si>
  <si>
    <t>4R,(18)</t>
  </si>
  <si>
    <t>Selective Spell</t>
  </si>
  <si>
    <t>You may exclude a number of squares from an AoE targeted effect</t>
  </si>
  <si>
    <t>Extra action in addition to the action of casting the spell: you may exclude up to (CAST STAT)/2 squares from being affected by the AoE.</t>
  </si>
  <si>
    <t>Spell Siphon</t>
  </si>
  <si>
    <t>After successful counterspell, gain strength at arms</t>
  </si>
  <si>
    <t>After successfully counterspelling, gain +1DV (str scaled weapon) and +1 reach for the next minute or until you make a successful attack that deals damage.</t>
  </si>
  <si>
    <t>4U,4G,(12)</t>
  </si>
  <si>
    <t>Passive</t>
  </si>
  <si>
    <t>Absorbing Dispersal</t>
  </si>
  <si>
    <t>Counterspelling triggers a heal</t>
  </si>
  <si>
    <t>Whenever you successfully counterspell you may heal target ally within CHA*10ft for 4.</t>
  </si>
  <si>
    <t>4W,4U,(12)</t>
  </si>
  <si>
    <t>Acrobat</t>
  </si>
  <si>
    <t>Move at full speed doing gymnastics at no penalty. Ignore most penalties for having hands full during gymnastics.</t>
  </si>
  <si>
    <t>move at full speed doing gymnastics at no penalty. Ignore most penalties for having hands full during gymnastics.</t>
  </si>
  <si>
    <t>4(U|R),(6)</t>
  </si>
  <si>
    <t>Adaptive Resistance</t>
  </si>
  <si>
    <t>Gain dampening/elemental dampening after taking appropriate damage type</t>
  </si>
  <si>
    <t>After taking damage, gain RANK*2 damage dampening that only applies to that damage type. This resistance expires after 10*BOD turns, or when this ability is triggered again.</t>
  </si>
  <si>
    <t xml:space="preserve">7G,(9)
14G,(18)
21G,(27)
</t>
  </si>
  <si>
    <t>Adrenaline Surge</t>
  </si>
  <si>
    <t>You are more likely to go first at the start of a round</t>
  </si>
  <si>
    <t>Treat your initiative as 5 higher for determining the acting order at the start of a round.</t>
  </si>
  <si>
    <t>6R,(12)</t>
  </si>
  <si>
    <t>And Stay Down</t>
  </si>
  <si>
    <t>Enemies receiving healing triggers OA</t>
  </si>
  <si>
    <t>Whenever an enemy you threaten is the succesful target of a healing effect it provokes an Opportunity Attack from you.</t>
  </si>
  <si>
    <t>12(B|R),(15)</t>
  </si>
  <si>
    <t>Arresting Impact</t>
  </si>
  <si>
    <t>Dealing damage to an enemy stops its movement</t>
  </si>
  <si>
    <t>When you hit an enemy with an AoO or readied attack, it loses all remaining movement for the turn, stopping in place if it was moving. Airborne creatures may fall if they cannot hover.</t>
  </si>
  <si>
    <t>6(W|B),(12)</t>
  </si>
  <si>
    <t>Assassinate</t>
  </si>
  <si>
    <t>Combat bonus vs. unaware targets</t>
  </si>
  <si>
    <t>Enemies treat your initative as 10 higher for purposes of awareness during surprise rounds
. Attacks against unaware enemies gain one automatic hit.</t>
  </si>
  <si>
    <t>7B,(15)</t>
  </si>
  <si>
    <t>Bardic Knowledge</t>
  </si>
  <si>
    <t>Generally applicable knowledge checks</t>
  </si>
  <si>
    <t xml:space="preserve">For a given topic you may make a Bardic Knowledge roll of (2*RANK + INTUITION or LOGIC as relevant). The general thresholds for recalling useful information are as follows.
1: Common Knowledge
3: Uncommon knowledge
4: Obscure / Hard to come by
5: Extremely Obscure
</t>
  </si>
  <si>
    <t>5
10
15
20</t>
  </si>
  <si>
    <t>2U,(3) per</t>
  </si>
  <si>
    <t>Blandness</t>
  </si>
  <si>
    <t>Harder to remember, harder to pick out of a crowd</t>
  </si>
  <si>
    <t>Apply a -3 penalty to all attempts to notice you in a crowd or remember your features. This bonus does not apply if exotic clothing / gear would make you stand out.</t>
  </si>
  <si>
    <t>4B,(6)</t>
  </si>
  <si>
    <t>Blindsense</t>
  </si>
  <si>
    <t>Perceive general location of things</t>
  </si>
  <si>
    <t>10/30/60/100ft blindsense</t>
  </si>
  <si>
    <t>10
20
30
40</t>
  </si>
  <si>
    <t>7(B|G),(9)
12(B|G),(15)
16(B|G),(21)
21(B|G),(27)</t>
  </si>
  <si>
    <t>Blindsight</t>
  </si>
  <si>
    <t>Pinpoint awareness of things around you</t>
  </si>
  <si>
    <t>5/15/30/50ft blindsight</t>
  </si>
  <si>
    <t>20
40
60
80</t>
  </si>
  <si>
    <t xml:space="preserve">9(W|U|G),(12)
14(W|U|G),(18)
19(W|U|G),(24)
24(W|U|G),(30
</t>
  </si>
  <si>
    <t>Blinkstrike</t>
  </si>
  <si>
    <t>You may teleport as part of your attack action, awareness permitting</t>
  </si>
  <si>
    <t xml:space="preserve">You may use a teleport ability as part of an attack action. Use your departure location for determining LoS.
</t>
  </si>
  <si>
    <t>6U,10(U|B|R),(21)</t>
  </si>
  <si>
    <t>Blood Magic</t>
  </si>
  <si>
    <t>Soak drain with BOD, take drain as health.</t>
  </si>
  <si>
    <t>Lose all sources of WIL to your drain soak dicepool. Gain BOD to your drain dicepool. You have no drain bar. When you are the recipient of healing the caster must give up health or stamina at a 1:1 rate to heal you. You take all drain damage as health damage.</t>
  </si>
  <si>
    <t>Blood Mana</t>
  </si>
  <si>
    <t>You may take drain as lethal</t>
  </si>
  <si>
    <t>You may choose to take any amount of drain you would suffer as twice its value in lethal damage.</t>
  </si>
  <si>
    <t>Blunt the Storm</t>
  </si>
  <si>
    <t>Shield bonus vs. AoE indirect effects</t>
  </si>
  <si>
    <t>You can block area attacks.</t>
  </si>
  <si>
    <t>2W,2U,(6)</t>
  </si>
  <si>
    <t>Burrowing</t>
  </si>
  <si>
    <t>various burrow speeds, limited burrow to 100% uptime</t>
  </si>
  <si>
    <t xml:space="preserve">Burrowing can penetrate loose or packed earth but not stone
5ft per round
___________
10ft per round
______
20ft per round
________
Normal Movement speed
</t>
  </si>
  <si>
    <t>20 per</t>
  </si>
  <si>
    <t>6(R|G),(12)
9(R|G),(18)
12(R|G),(24)
15(R|G),(30)</t>
  </si>
  <si>
    <t>Camoflague</t>
  </si>
  <si>
    <t>Hide in plain sight: terrain</t>
  </si>
  <si>
    <t>Select a climate region, this ability may be purchased multiple times, once for each such region. When in chosen region you may attempt stealth checks at any time as if unobserved.</t>
  </si>
  <si>
    <t>Catlike</t>
  </si>
  <si>
    <t>Reduced falling damage, better climbing jumping escape artist</t>
  </si>
  <si>
    <t>Reduce the effective height of all falls by 20', then halve the distance for purposes of damage sustained.</t>
  </si>
  <si>
    <t>7(R|G),(9)</t>
  </si>
  <si>
    <t>Caustic demise</t>
  </si>
  <si>
    <t xml:space="preserve">Enemies killed by your acid abilities explode </t>
  </si>
  <si>
    <t>Enemies killed by your acid abiilities explode for (initial DV of effect that delivered the killing blow) damage to adjacent enemies</t>
  </si>
  <si>
    <t>9(B|G),(12)</t>
  </si>
  <si>
    <t>Changeling</t>
  </si>
  <si>
    <t>Alter appearance, immitate others</t>
  </si>
  <si>
    <t>Assume disguises in 12 seconds
+6 on disguise
+4 on mimicry
Gain Shapeshifter subtype</t>
  </si>
  <si>
    <t>16(U|B),(21)</t>
  </si>
  <si>
    <t>Chaotic Haversack</t>
  </si>
  <si>
    <t>Trinkets and objects seem to end up in your backpack, but you didn't put them there.</t>
  </si>
  <si>
    <t>As a standard action, you may pull out any half non-magical inanimate object (rope, candle, etc).  You may have up to a total of 3 spontaneously generated items at a time; these items may be returned to the sack and exchanged.  Items spontaneously created are entirely mundane items posessing no magical properties.  Should a spontaneously generated item be unreturned to the sack there is a 24 hour period before that use is restored. Ability to pull out various low value items without specifically having them in inventory, representing character's collection of useful odds and ends. Pull out an item based on hits: 1. basic object 2. half item 4. full item 5. exotic substance
Dicepool of LOG+INT+3</t>
  </si>
  <si>
    <t xml:space="preserve">4R,3(U|R|G),(9)
</t>
  </si>
  <si>
    <t>Close and Personal</t>
  </si>
  <si>
    <t>By closing to CQC you negate enemy's reach when using(smaller) weapons</t>
  </si>
  <si>
    <t>By entering an opponent's square (check to circumvent being pushed out) you treat that opponent as having no reach for attacks involving you and that opponent so long as you are attacking/defending with light weapons or lighter.</t>
  </si>
  <si>
    <t>2B,2R,(6)</t>
  </si>
  <si>
    <t>Counterbolt</t>
  </si>
  <si>
    <t>Counterspelling generates a lightning bolt</t>
  </si>
  <si>
    <t>Whenever you successfully counterspell you may immediately launch a DV = 6+CAST STAT lightning bolt at a single target.</t>
  </si>
  <si>
    <t>4U,4R,(12)</t>
  </si>
  <si>
    <t>Cunning Adaptation</t>
  </si>
  <si>
    <t>Open up another ability of R6 or lower for purchase regardless of the color req.</t>
  </si>
  <si>
    <t>Pick any single ability of R6 or lower. You may purchase it.</t>
  </si>
  <si>
    <t>12U,12G,(30)</t>
  </si>
  <si>
    <t>Darkvision</t>
  </si>
  <si>
    <t>See in pure darkness, monochromatic</t>
  </si>
  <si>
    <t>30/60/120ft darkvision</t>
  </si>
  <si>
    <t xml:space="preserve">5
25
55
</t>
  </si>
  <si>
    <t>3(B|G|R),(9) per</t>
  </si>
  <si>
    <t>Dazing Glare</t>
  </si>
  <si>
    <t>Stagger enemies with intimidation</t>
  </si>
  <si>
    <t>When you successfully intimidate an enemy and would apply 1 or more fear stacks, you may instead cause them to be staggered until the end of their next turn.</t>
  </si>
  <si>
    <t>12(W|B),(15)</t>
  </si>
  <si>
    <t>Deadly Momentum</t>
  </si>
  <si>
    <t>Combat bonuses for moving each round</t>
  </si>
  <si>
    <t>If you move 3 or more squares during your turn your next attack made during that turn has 
superior ground.</t>
  </si>
  <si>
    <t>Delay Potion</t>
  </si>
  <si>
    <t>Upon drinking a potion you can choose to delay its effects for up to BODY+WILL hours</t>
  </si>
  <si>
    <t>2U
2G</t>
  </si>
  <si>
    <t>Diehard</t>
  </si>
  <si>
    <t>Act normally while bleeding out</t>
  </si>
  <si>
    <t>You do not fall unconscious when your condition track is filled, you still bleed out as normal.</t>
  </si>
  <si>
    <t>Distraction</t>
  </si>
  <si>
    <t>Flanking benefits</t>
  </si>
  <si>
    <t xml:space="preserve">When outnumbering an enemy in melee, that enemy may not take attacks of opportunity for triggers other than movement.
</t>
  </si>
  <si>
    <t>4(W/R)</t>
  </si>
  <si>
    <t>Driven by Pain</t>
  </si>
  <si>
    <t>Gain 2 initiative per lethal damage you take, gain 1 initiative per nonlethal damage you take</t>
  </si>
  <si>
    <t>Gain 1 initiative per lethal damage you take, gain 1 initiative per 2 nonlethal damage you take</t>
  </si>
  <si>
    <t xml:space="preserve">6B,6(B|R),(15)
</t>
  </si>
  <si>
    <t>Durable</t>
  </si>
  <si>
    <t>hp +1, overflow hp +1</t>
  </si>
  <si>
    <t>Increase your maximum health and your overflow health by 1 each.</t>
  </si>
  <si>
    <t>4
8
12</t>
  </si>
  <si>
    <t>per: ,(3)</t>
  </si>
  <si>
    <t xml:space="preserve">
</t>
  </si>
  <si>
    <t>Elemental Charge</t>
  </si>
  <si>
    <t xml:space="preserve">When you make a charge attack while you have an element imbued in your weapons you leave a lingering trail of that element.
</t>
  </si>
  <si>
    <t xml:space="preserve">Prerequisite: an Imbue (element) ability.
You may spend (5) to activate one of your Imbue(element) buffs as part of a charge.
When you charge with an imbue(element) buff active you leave behind a lingering trail of the element in all spaces you exit as part of the charge. This trail lasts until the end of the round and automatically hits creatures that enter, cross, or end their turn inside it, dealing (8+ CAST STAT) damage of the appropriate element.
</t>
  </si>
  <si>
    <t>,(21)</t>
  </si>
  <si>
    <t>Elusive combatant</t>
  </si>
  <si>
    <t>first (Y) squares of movement do not provoke</t>
  </si>
  <si>
    <t>The first (1/3/*) squares of each movement you make do not provoke attacks of opportunity.</t>
  </si>
  <si>
    <t>5
+5
+10</t>
  </si>
  <si>
    <t xml:space="preserve">4(U|B),(6)
9(U|B),(12)
14(U|B),(18)
</t>
  </si>
  <si>
    <t>Evasion</t>
  </si>
  <si>
    <t>Armor encumbrance limitation, avoid area effects</t>
  </si>
  <si>
    <t>While you are lightly encumbered you may attempt a dodge roll when subjected to an AoE you are aware of. (5) make a gymnastics check and move (X) per hit without provoking. If this places you outside the AoE you are no longer targeted by it. Additionally, double your dodge skill dice on active dodges and full dodges.</t>
  </si>
  <si>
    <t>7(U|B|R),(9)</t>
  </si>
  <si>
    <t>Extraordinary Defender</t>
  </si>
  <si>
    <t>Guaranteed a minimum of take 4 on parries and blocks</t>
  </si>
  <si>
    <t>When rolling parry/block treat any value below the take-4 value as the take-4 value</t>
  </si>
  <si>
    <t>Extraordinary Evasion</t>
  </si>
  <si>
    <t>Guaranteed a minimum of take 4 on dodge</t>
  </si>
  <si>
    <t>When rolling dodge treat any roll below the take-4 value as the take-4 value</t>
  </si>
  <si>
    <t>Extraordinary Resilience</t>
  </si>
  <si>
    <t>Guaranteed a minimum of take 4 on chosen save</t>
  </si>
  <si>
    <t>Choose a resistance (physical, mental). When rolling that resistance treat any roll below the take-4 value as the take-4 value. 
Rank 2: applies to both resistances</t>
  </si>
  <si>
    <t>60,80</t>
  </si>
  <si>
    <t>Extraordinary Skill</t>
  </si>
  <si>
    <t>Guaranteed a minimum of take 4 on chosen skill</t>
  </si>
  <si>
    <t xml:space="preserve">Choose a skill (except spellcasting or weapon skill). When rolling that skill treat any roll below the take-4 value as the take-4 value. </t>
  </si>
  <si>
    <t>Fan of Knives</t>
  </si>
  <si>
    <t>You can use manevuers on light thrown weapons as if they were melee weapons.</t>
  </si>
  <si>
    <t>You may use manevuers for melee weapons when making ranged attacks with light thrown weapons at targets within (AGI/2)*5 ft</t>
  </si>
  <si>
    <t>Fast Talker</t>
  </si>
  <si>
    <t>No penalty for rushing Con checks. Allow for secondary con roll to avert social blunder.</t>
  </si>
  <si>
    <t>You no longer take a penalty for rushing a con attempt. You may attempt a con roll to smooth over an unsuccessful negotiation or etiquette roll.</t>
  </si>
  <si>
    <t>Faster movement</t>
  </si>
  <si>
    <t>Increase base movespeed</t>
  </si>
  <si>
    <t>5 extra movement speed per rank</t>
  </si>
  <si>
    <t>4per</t>
  </si>
  <si>
    <t>1(R|G),(3) per</t>
  </si>
  <si>
    <t>Fate's Bounty</t>
  </si>
  <si>
    <t>Heal whenever you spend luck</t>
  </si>
  <si>
    <t>Whenever you spend a point of LUK, you may heal 2 stamina, drain or health per point of LUK spent.</t>
  </si>
  <si>
    <t>3G,(15)</t>
  </si>
  <si>
    <t>Fearsome reputation</t>
  </si>
  <si>
    <t>bonus on diplomacy / intimidate varying</t>
  </si>
  <si>
    <t xml:space="preserve">Gain +3 dice on intimidation/diplomacy/leadership checks when the subjects of such checks are aware of your reputation. Others so aware of your reputation gain a +3 bonus on checks to recognize you, recall seeing you, etc. so long as you are not adequately disguised.
</t>
  </si>
  <si>
    <t xml:space="preserve">1(B|W),(3)
</t>
  </si>
  <si>
    <t>Fed by Fear</t>
  </si>
  <si>
    <t>Generate expendable offensive dice when you successfully fear an enemy</t>
  </si>
  <si>
    <t>Every time your fear effect is not fully resisted/soaked by one or more enemies add 2 dice to your Fearmonger pool. You may expend dice from your fearmonger pool to boost attack rolls, charisma based skill rolls, and rolls that directly produce fear effects. Your fearmonger pool is capped at CHA/2 and expires after a minute of not gaining any dice.</t>
  </si>
  <si>
    <t>Fickle sinew</t>
  </si>
  <si>
    <t>All successful melee attacks against you are subject to a free disarm. Attacker's AGI + SKILL vs. BOD</t>
  </si>
  <si>
    <t>All successful melee attacks against you are subject to a free disarm. Attacker's Weapon Skill dicepool vs. BOD (as dicepool)</t>
  </si>
  <si>
    <t>Finger Lopper</t>
  </si>
  <si>
    <t>Deal damage on successful disarm</t>
  </si>
  <si>
    <t>Disarming an enemy subjects them to a hit at -4 DV of the successful disarm roll
(Disarm is a basic combat maneuver, rolling attack vs. Dodge/Block/Parry &amp; Physical soak. Different sized and styled items require different applied eDV values to successfully disarm. Typical 2 for small items, 4 for 1 handed weapons, 6 for 2 handed weapons, and 8 for secured items like shields).</t>
  </si>
  <si>
    <t>3W,3B,(9)</t>
  </si>
  <si>
    <t>Flawless stride</t>
  </si>
  <si>
    <t>ignore some/all difficult terrain</t>
  </si>
  <si>
    <t>ignore (some/all) difficult terrain</t>
  </si>
  <si>
    <t>4G,(9)
9G,(18)</t>
  </si>
  <si>
    <t>Flight</t>
  </si>
  <si>
    <t>Various degrees of flight</t>
  </si>
  <si>
    <t>Ignore falling damage so long as you can manage a glide, glide ratio of 2:1
_____________________________________
Fly up to a minute, requiring 10x the amount of rest to recoup your flight capabilities. Very wide turns
_____________________________________
Continuous flight, wide turns
_____________________________________
Continuous flight, faster (1.5x base move), hover
_____________________________________
Continuous flight, fastest (2x base move), hover, turn on a dime</t>
  </si>
  <si>
    <t>10/30/20/20/20</t>
  </si>
  <si>
    <t>WUBRG,(12)
WUBRG,(15)
WUBRG,(18)
WUBRG,(21)
WUBRG,(24)</t>
  </si>
  <si>
    <t>Food Taster</t>
  </si>
  <si>
    <t>Detect poison, venom resistance</t>
  </si>
  <si>
    <t>Your past career as a paid food taster has granted you the experience to detect poisoned food.  Additionally you are immune to venom of (idfk how poisons work but I assume it would be like catagories so like snakes vs spiders idk)
Gain +4 on perception checks to notice the presence of poison. In addition you are either immune to one poison of your choosing or have a +2 bonus against all poisons.</t>
  </si>
  <si>
    <t>1(B|G),(3)</t>
  </si>
  <si>
    <t>Force of Presence</t>
  </si>
  <si>
    <t>Increase maximum auras you can sustain</t>
  </si>
  <si>
    <t>You may sustain two auras at once</t>
  </si>
  <si>
    <t>Fortunate Fool</t>
  </si>
  <si>
    <t>All critical failures become normal failures, all normal failures restore a point of luck</t>
  </si>
  <si>
    <t xml:space="preserve">All critical failures restore a point of luck and are reduced to normal failures, subject to DM discretion. Do not apply this to trivial or nondramatic failures. </t>
  </si>
  <si>
    <t xml:space="preserve">7R,(9)
</t>
  </si>
  <si>
    <t>Freedom of movement</t>
  </si>
  <si>
    <t>Bonus to resist movement impairing effects</t>
  </si>
  <si>
    <t>2*RANK to resist movement impairing effects (including grapples)</t>
  </si>
  <si>
    <t>20
40
60</t>
  </si>
  <si>
    <t>3W
3(R/G) per
 +4</t>
  </si>
  <si>
    <t>Frostborn</t>
  </si>
  <si>
    <t>Deal 1 damage when your cold effects would reduce an opponent's initiative below zero</t>
  </si>
  <si>
    <t>When your Cold effect would reduce an opponent's initiative to a value equal to or below 0 you also deal 2 unresisted untyped damage (to health).</t>
  </si>
  <si>
    <t>3B,3U,(15)</t>
  </si>
  <si>
    <t>Ghostsense</t>
  </si>
  <si>
    <t>Perceive general location of things that are ethereal</t>
  </si>
  <si>
    <t>10/30/60/100ft ghostsense</t>
  </si>
  <si>
    <t>7(W),(9)
12(W),(15)
16(W),(21)
21(W),(27)</t>
  </si>
  <si>
    <t>Glamour</t>
  </si>
  <si>
    <t>Good looks and a likable presence such that most find it easy to open up to you.</t>
  </si>
  <si>
    <t>Unless otherwise on guard, others are more likely to react favorably (one step on impression). When making social rolls you may take 2 drain to cause your dice to explode, though if you do so and fail there are more serious consequences as adjudicated by the GM.
Everyone succeeds on 4s to remember events involving you.</t>
  </si>
  <si>
    <t>Go the Distance</t>
  </si>
  <si>
    <t>Improved Athletics</t>
  </si>
  <si>
    <t>Now a non action to sprint. Enemies do not gain bonus vs you when you sprint Plus something about sprint longer with no exhaustion</t>
  </si>
  <si>
    <t>RW</t>
  </si>
  <si>
    <t>Hardline Negotiator</t>
  </si>
  <si>
    <t>Allow second attempts on failed negotiations where there otherwise wouldn’t be one. +3 to negotiation dicepool.</t>
  </si>
  <si>
    <t xml:space="preserve">Allow second attempts on failed negotiations where there otherwise wouldn’t be one. </t>
  </si>
  <si>
    <t>Hawk Eyed</t>
  </si>
  <si>
    <t>Reduce vision penalties by 3</t>
  </si>
  <si>
    <t>Reduce vision penalties by 3. This includes the penalty for attacking faraway targets.</t>
  </si>
  <si>
    <t>1G,(6)</t>
  </si>
  <si>
    <t>Heavy Hitter</t>
  </si>
  <si>
    <t>More likely to knockdown</t>
  </si>
  <si>
    <t>Reduce the threshold for inflicting knockdown with your melee attacks by 2</t>
  </si>
  <si>
    <t>Helping Hand</t>
  </si>
  <si>
    <t>Ally benefits vs foes you are in melee with</t>
  </si>
  <si>
    <t>You and your allies gain the benefits of ALLIES IN MELEE COMBAT when making ranged attacks into a melee.</t>
  </si>
  <si>
    <t>(W/G)</t>
  </si>
  <si>
    <t>Hold Breath</t>
  </si>
  <si>
    <t>Practice and necessity has improved your lung capacity and oxygen usage</t>
  </si>
  <si>
    <t>Quadruple the time you can hold your breath for without having to roll dice. You gain a +5 bonus against inhalation based poisons.</t>
  </si>
  <si>
    <t>3</t>
  </si>
  <si>
    <t>3G</t>
  </si>
  <si>
    <t>Inevitability</t>
  </si>
  <si>
    <t>Gain attack bonus after missing</t>
  </si>
  <si>
    <t>After you miss an attack, gain 2 dice on the next attack you make before the end of the next round.</t>
  </si>
  <si>
    <t>4R,(6)</t>
  </si>
  <si>
    <t>init fixing</t>
  </si>
  <si>
    <t xml:space="preserve">roll 1 extra init die at start, set aside 1 die for next round
</t>
  </si>
  <si>
    <t>Roll 1 extra initiative dice at the start of combat and choose one roll to set aside. On subsequent rounds you roll dice as normal, then add this kept die and choose one die among them to set aside for the next round.</t>
  </si>
  <si>
    <t xml:space="preserve">9G,(18)
</t>
  </si>
  <si>
    <t>Init Growth</t>
  </si>
  <si>
    <t>slowly gain initiative</t>
  </si>
  <si>
    <t>At the start of round Y, reroll all initiative dice that are lower than min(Y,1+rank). Round count resets after 5.</t>
  </si>
  <si>
    <t>Inspiration</t>
  </si>
  <si>
    <t>Inspire others to greater acts at key moments</t>
  </si>
  <si>
    <t>You gain a pool of CHA inspiration dice. As an Extra action you may give any number of inspiration dice to an ally. A creature that has inspiration dice but does not have this ability may add the inspiration dice on any roll, expending them. This pool refreshes daily, and unspent inspiration expires daily.</t>
  </si>
  <si>
    <t>Invigorate</t>
  </si>
  <si>
    <t>Recipients of your healing gain +1 die to all checks for a short while</t>
  </si>
  <si>
    <t>Recipients of your healing gain +1 die to all checks for a number of rounds equal to half the health restored, rounded up.</t>
  </si>
  <si>
    <t>12(W|G),(15)</t>
  </si>
  <si>
    <t>It's all in the wrist</t>
  </si>
  <si>
    <t>Cheat at games; manipulate dice, cards</t>
  </si>
  <si>
    <t>You may make a legerdemain check to make games of chance end in your favor.  Gain +4 dice to these checks, you may spend a luck point to ensure a victory.  Additionally, you may spend a point of luck to win a bet limited to gambling such as betting on a fight or race.  May apply circumstance bonuses at the GMs discretion.</t>
  </si>
  <si>
    <t>Killing Hands</t>
  </si>
  <si>
    <t>Unarmed strikes deal lethal</t>
  </si>
  <si>
    <t>You can choose for your unarmed strikes to do lethal damage. Your unarmed strike is a 8/2 weapon (medium size).</t>
  </si>
  <si>
    <t>,(6)</t>
  </si>
  <si>
    <t>Light Sleeper</t>
  </si>
  <si>
    <t>You don't take any penalty to perception checks while sleeping, you can act on the turn you wake up</t>
  </si>
  <si>
    <t>Lightning Reflexes</t>
  </si>
  <si>
    <t>extra initiative dice</t>
  </si>
  <si>
    <t>(RANK) extra initiative dice</t>
  </si>
  <si>
    <t xml:space="preserve">,(12)
(18)
(24)
</t>
  </si>
  <si>
    <t>Lightning Rod</t>
  </si>
  <si>
    <t>Can't thunderstruck, gain benefits for dealing lightning damage</t>
  </si>
  <si>
    <t>Your lightning damage cannot normally apply thunderstruck.
Enemies damaged by your lightning effects suffer Vulnerable 2 to lightning until the end of next round.
Damaging an enemy with a lightning effect grants you one static charge. Static charges decay after 1 minute of not gaining a charge.
While holding at least one static charge you glow faintly.
You can spend static charges as follows.
(X): This lightning attack can apply thunderstruck, count your net hits as X higher for determining if thunderstruck occurs. This may be activated after net hits are determined.
(3): Select one creature up to 30ft away from a current target for your lightning attack as an additional target, there must be line of effect between these two creatures.</t>
  </si>
  <si>
    <t>4U,4R,(18)</t>
  </si>
  <si>
    <t>Lingering Aura</t>
  </si>
  <si>
    <t>The effects of your aura linger after affected individuals leave its zone of effect.</t>
  </si>
  <si>
    <t>The effects of your auras persist for one round after an affected individual leaves the zone of effect.</t>
  </si>
  <si>
    <t>Lore Master</t>
  </si>
  <si>
    <t>Various bonuses granted to combat for identifying enemies</t>
  </si>
  <si>
    <t xml:space="preserve">Once per combat you may attempt to recall relevant information to help combat a type of foe. Make a knowledge roll as a half action using the appropriate skill, for every two hits on this check you add +1 die to all opposed checks against the chosen type until combat ends, to a maximum of half your LOGIC.  </t>
  </si>
  <si>
    <t xml:space="preserve">4U,5(W|U),(12)
</t>
  </si>
  <si>
    <t>Magic resistance</t>
  </si>
  <si>
    <t>always on resistance to magic</t>
  </si>
  <si>
    <t>Gain RANK dice to resist magical effects. You always roll to resist magical effects and are not considered willing. You can suppress this ability at will, a Extra action in combat. Resuming this ability is also a Extra action.</t>
  </si>
  <si>
    <t xml:space="preserve">4(G|U),(6)
9(G|U),(12)
14(G|U),(18)
19(G|U),(24)
24(G|U),(30)
</t>
  </si>
  <si>
    <t>magical device affinity / magic sensitive / aura viewing</t>
  </si>
  <si>
    <t xml:space="preserve">Affinity: Notice items are magical with hands on inspection. Glean some idea of the magic item's function
Sensitive: Notice items are magica after a few moments of observation
Aura: Notice magical auras in addition to items, discern more specific functionality of items (identify given time)
</t>
  </si>
  <si>
    <t>5/5/10</t>
  </si>
  <si>
    <t>,(W|U|B),3 per</t>
  </si>
  <si>
    <t>Mana Barrier</t>
  </si>
  <si>
    <t>You may take up to half the damage from every hit as drain.</t>
  </si>
  <si>
    <t>4(W|B|G),(9)</t>
  </si>
  <si>
    <t>Mass combustion</t>
  </si>
  <si>
    <t>Enemies you set alight have a chance to set adjacent enemies alight each turn</t>
  </si>
  <si>
    <t xml:space="preserve">For enemies that you cause to burn, at the start of their turn adjacent enemies must resist the current flame intensity with Armor Soak or catch on fire.
</t>
  </si>
  <si>
    <t>9R,(12)</t>
  </si>
  <si>
    <t>Master of Poisons</t>
  </si>
  <si>
    <t>Create, identify, use, resist poisons</t>
  </si>
  <si>
    <t>Gain
Knowledge of poison crafting
ability to learn new poison recipes and develop your own
+3 dice vs. poison effects
+3 dice to identify poisons</t>
  </si>
  <si>
    <t>4(B|G),(6)</t>
  </si>
  <si>
    <t>Master smuggler</t>
  </si>
  <si>
    <t>Bonuses on sleight of hand, hiding things</t>
  </si>
  <si>
    <t>Treat unattended objects one size smaller for fitting them through tight spaces</t>
  </si>
  <si>
    <t>2(U/B)
2(U/R)
2(B/R)</t>
  </si>
  <si>
    <t>Mingling</t>
  </si>
  <si>
    <t>Hide in plain sight: crowds</t>
  </si>
  <si>
    <t xml:space="preserve">You can always attempt a stealth check when in crowds even if observed. </t>
  </si>
  <si>
    <t>Multicast</t>
  </si>
  <si>
    <t>Multispelling bonus, limit drain increase, extra dice</t>
  </si>
  <si>
    <t>You do not suffer increased drain for casting multiple spells in one action. Gain +1 dice to each spellcasting roll when multicasting. Applying this metamagic takes your Extra action.</t>
  </si>
  <si>
    <t>7(U|R),(15)</t>
  </si>
  <si>
    <t>Natural weapons, various</t>
  </si>
  <si>
    <t>Claws, Bite, Tail, blades, spines, etc</t>
  </si>
  <si>
    <t>You gain a natural weapon. Additional features may be purchased to customize it.</t>
  </si>
  <si>
    <t>4G</t>
  </si>
  <si>
    <t>Nothing Personal</t>
  </si>
  <si>
    <t>Treated as having superior ground during a turn you have teleported.</t>
  </si>
  <si>
    <t>After teleporting, you have superior ground until the end of your turn (or end of next turn if you teleported when it wasn't your turn)</t>
  </si>
  <si>
    <t>7(W|U),(15)</t>
  </si>
  <si>
    <t>Opportunist</t>
  </si>
  <si>
    <t>sfsadfsaf</t>
  </si>
  <si>
    <t xml:space="preserve">Gain +3 dice on all readied attacks and intercepts  </t>
  </si>
  <si>
    <t>6W</t>
  </si>
  <si>
    <t>Outstanding Jumper</t>
  </si>
  <si>
    <t>Leap buildings where others leap fences</t>
  </si>
  <si>
    <t>Full/Half/Extra action, make a Strongman roll to jump. You are treated as if you had a running start. Multiply the jump distance by 10.</t>
  </si>
  <si>
    <t>5(R|G),(21)
12(R|G),(24)
13(R|G),(27)</t>
  </si>
  <si>
    <t>Pain Brings Suffering</t>
  </si>
  <si>
    <t>Victims of your DoTs take a dicepool penalty equal to half the total ongoing damage value.</t>
  </si>
  <si>
    <t>Victims of your DoTs take a dicepool penalty equal to one quarter the total ongoing damage value.</t>
  </si>
  <si>
    <t>7B,(9)</t>
  </si>
  <si>
    <t>Pain tolerance</t>
  </si>
  <si>
    <t>Increases number of damage boxes required to acquire wound penalties</t>
  </si>
  <si>
    <t>You require 6 + (RANK) boxes per wound penalty, rather than 6.</t>
  </si>
  <si>
    <t>2(W|B|G),(6) per</t>
  </si>
  <si>
    <t>Paragon of Skill</t>
  </si>
  <si>
    <t>reroll all 4s for a noncombat skill, can be taken multiple times</t>
  </si>
  <si>
    <t>Parry and Twist</t>
  </si>
  <si>
    <t>Attempting a disarm as part of a riposte only costs (5). Deprecated</t>
  </si>
  <si>
    <t>Attempting a disarm as part of a riposte only costs (5)</t>
  </si>
  <si>
    <t>3W
3U</t>
  </si>
  <si>
    <t>Permafrost</t>
  </si>
  <si>
    <t>Initiative damage beyond 0 is applied to enemy's next turn</t>
  </si>
  <si>
    <t>Initiative damage resulting from your cold effects that would reduce an enemy's initiative below 0 is applied towards their next round's initiative.</t>
  </si>
  <si>
    <t>9U,(12)</t>
  </si>
  <si>
    <t>Personality Cult</t>
  </si>
  <si>
    <t>When you resist a charm effect, you may reflect that effect back at the user.</t>
  </si>
  <si>
    <t>When you successfully resist a mind affecting ability you may spend (5) to redirect the effect to the originator.</t>
  </si>
  <si>
    <t>Photographic memory</t>
  </si>
  <si>
    <t>remember stuff, prompt GM for refreshers of detail</t>
  </si>
  <si>
    <t>Gain 2 dice on knowledge checks to remember something. You may recall additional relevant details by prompting the GM for a clearer picture of a memory, subject to GM discretion. Rolling memory is now faster (typically a Extra action).</t>
  </si>
  <si>
    <t>3U,(6)</t>
  </si>
  <si>
    <t>Projectile deflection</t>
  </si>
  <si>
    <t>Parry some projectiles</t>
  </si>
  <si>
    <t xml:space="preserve">You can parry projectile based attacks from various item size categories
your size +2 (arrows, daggers)
your size +1 (thrown weapons, single target dodgeable, blockable spells)
your size (heavy thrown weapons, powder shot weapons)
</t>
  </si>
  <si>
    <t>7(W|U),(9)</t>
  </si>
  <si>
    <t>Prowess</t>
  </si>
  <si>
    <t>Every non attack ability used increases your combat prowess</t>
  </si>
  <si>
    <t>Gain +1 extra dice on all defenses and weapon attacks for each non attack ability used. This bonus stacks and lasts until the end of the round.</t>
  </si>
  <si>
    <t xml:space="preserve">3W,3R,3(W|U|R),(18)
</t>
  </si>
  <si>
    <t>quickdraw</t>
  </si>
  <si>
    <t xml:space="preserve">quickdraw without check // quickdraw large items </t>
  </si>
  <si>
    <t>Items that can be quickdrawn normally require no check and are drawn as a nonaction. Most items that cannot normally be quickdrawn may be attempted as a standard quickdraw (Extra action, legerdemain vs. 2)</t>
  </si>
  <si>
    <t>Ranger favored enemy</t>
  </si>
  <si>
    <t>gain bonuses against specific enemy types</t>
  </si>
  <si>
    <t xml:space="preserve">Gain (RANK) extra dice for checks pertaining to the chosen (sub)type. </t>
  </si>
  <si>
    <t>10x next rank</t>
  </si>
  <si>
    <t>4(W/G) per</t>
  </si>
  <si>
    <t>Ranger's Guile</t>
  </si>
  <si>
    <t>Difficult terrain doesn’t slow your group’s travel.
Your group can’t become lost except by magical means.
Even when you are engaged in another activity while traveling (such as foraging, navigating, or tracking), you remain alert to danger.
If you are traveling alone, you can move stealthily at a normal pace.
When you forage, you find twice as much food as you normally would.
While tracking other creatures, you also learn their exact number, their sizes, and how long ago they passed through the area.</t>
  </si>
  <si>
    <t>Difficult terrain slows your travel by one less step.
Your group can’t become lost except by magical means.
Even when you are engaged in another activity while traveling (such as foraging, navigating, or tracking), you remain alert to danger.
If you are traveling alone, you can move stealthily at a normal pace.
When you forage, you find twice as much food as you normally would.
While tracking other creatures, you also learn their exact number, their sizes, and how long ago they passed through the area.</t>
  </si>
  <si>
    <t>Reactive Dodge</t>
  </si>
  <si>
    <t>Shift 10ft as part of a dodge</t>
  </si>
  <si>
    <t xml:space="preserve">As part of a dodge or when dodging on full dodge you may move 10 ft.
</t>
  </si>
  <si>
    <t>4U,(6)</t>
  </si>
  <si>
    <t>Regenerating Fortitude</t>
  </si>
  <si>
    <t>Restore 1 stamina on dealing damage</t>
  </si>
  <si>
    <t>Once per turn when you directly cause damage to an enemy you heal 1 point of nonlethal damage.</t>
  </si>
  <si>
    <t>10(W|B),(21)</t>
  </si>
  <si>
    <t>Regeneration</t>
  </si>
  <si>
    <t>Converts lethal to nonlethal over time</t>
  </si>
  <si>
    <t>Convert 1 lethal to nonlethal every hour, starting with smallest wounds. Regeneration can regrow severed limbs in a day.</t>
  </si>
  <si>
    <t>12G,(15)</t>
  </si>
  <si>
    <t>Reserves of Spirit</t>
  </si>
  <si>
    <t>Increase drain bar</t>
  </si>
  <si>
    <t>.+RANK to drain bar</t>
  </si>
  <si>
    <t>5
10
15
...</t>
  </si>
  <si>
    <t>3G,(3)</t>
  </si>
  <si>
    <t>Resist (ELEMENT)</t>
  </si>
  <si>
    <t>2x RANK dice against (ELEMENT) effects. 
W: radiant
U: cold
B: acid, dark
R: fire, lightning
G: cold, acid, fire, lightning</t>
  </si>
  <si>
    <t>2x RANK dice against (ELEMENT) effects</t>
  </si>
  <si>
    <t>3
6
9
...</t>
  </si>
  <si>
    <t>3G,(6)</t>
  </si>
  <si>
    <t>Resistance, General</t>
  </si>
  <si>
    <t>RANK dice against elemental effects</t>
  </si>
  <si>
    <t>RANK dice against elemental effects (fire,cold,acid,lightning)</t>
  </si>
  <si>
    <t xml:space="preserve">3G,(6) per
</t>
  </si>
  <si>
    <t>Roll with the blows</t>
  </si>
  <si>
    <t>Gain dodge bonus after being hit</t>
  </si>
  <si>
    <t>After you are hit by an attack and suffer damage, gain 1 free hit to the next defense roll you make against an attack.</t>
  </si>
  <si>
    <t>3W,3R,(9)</t>
  </si>
  <si>
    <t>Runecarving</t>
  </si>
  <si>
    <t xml:space="preserve">Carve magical runes to delay magical effects for use at a desired time
</t>
  </si>
  <si>
    <t xml:space="preserve">You cannot cast spells directly.
You can scribe up to (CAST STAT)/2 runes per day given sufficient downtime. Runes are typically scribed onto small durable objects that fit in one's hand but nearly any surface can accept runes. 
The dicepool, force and cast stat parameters of a runic spell are set when it is created. Runic spells are never affected by wound penalties.
A rune must be attuned before it can be used. A rune can be attuned as part of the action of casting the stored spell. Attuning a rune costs 2 unpreventable point sof drain damage. As a runecaster you may have up to (CAST STAT)/2 runes attuned at once. Non runecasters are limited to 1 rune and may only attune runes as part of the action of casting the stored spell.
A rune comes with (Your drain pool / 2 / spell drain value ) uses.
</t>
  </si>
  <si>
    <t>W/U</t>
  </si>
  <si>
    <t>Scent</t>
  </si>
  <si>
    <t>Detect things by sense of smell</t>
  </si>
  <si>
    <t>You can easily distinguish different scents as easily as sounds, shapes and colors. This allows you to be aware of things in the general vicinity (30ft), things that have been in an area you are closely expecting (modified by circumstances).</t>
  </si>
  <si>
    <t>1G,(3)</t>
  </si>
  <si>
    <t>Shadowmeld</t>
  </si>
  <si>
    <t>Hide in plain sight: shadows</t>
  </si>
  <si>
    <t>You can always attempt a stealth check when in dimly lit or dark areas even if observed.</t>
  </si>
  <si>
    <t>Shield Push</t>
  </si>
  <si>
    <t>Enemies you hit with your shield are subject to a free push attempt</t>
  </si>
  <si>
    <t>Whenever you hit an enemy with your shield (even if they fully soak the damage) you may attempt to push them.
Treat the shield attack's roll as the roll for the shield push, target soaks with physical soak, move them (unsoaked eDV)/4 * 5ft.</t>
  </si>
  <si>
    <t>6W,(12)</t>
  </si>
  <si>
    <t>Shielded mind</t>
  </si>
  <si>
    <t>bonus vs. mind affecting</t>
  </si>
  <si>
    <t>Gain +RANK dice against mind affecting</t>
  </si>
  <si>
    <t xml:space="preserve">3(W|G),(6) per
</t>
  </si>
  <si>
    <t>Silent as a shadow</t>
  </si>
  <si>
    <t>Climb, swim, and jump extra quietly. Quiet kills</t>
  </si>
  <si>
    <t>You take no penalty for sneaking at normal speed,. Enemies take -4 to hear most sounds you make in combat</t>
  </si>
  <si>
    <t xml:space="preserve">4(U|B),(6)
</t>
  </si>
  <si>
    <t xml:space="preserve">Skirmishing Sharpshooter
</t>
  </si>
  <si>
    <t>Threaten adjacent spaces with bow</t>
  </si>
  <si>
    <t xml:space="preserve">You may treat ranged weapons as melee weapons for purposes of threatened area and related combat modifiers. 
</t>
  </si>
  <si>
    <t>10(R/G)</t>
  </si>
  <si>
    <t>Speedloader</t>
  </si>
  <si>
    <t>Reload weapons more quickly</t>
  </si>
  <si>
    <t>As a half action you may reload HITS weapons on a Palming roll.</t>
  </si>
  <si>
    <t>,(9)</t>
  </si>
  <si>
    <t>Spell drinking</t>
  </si>
  <si>
    <t>invigorated by failed spells targeting user</t>
  </si>
  <si>
    <t>Gain 1 temp hp when you resist a hostile spell.</t>
  </si>
  <si>
    <t>Countering a spell deals 1 drain to the caster and you heal 1 drain</t>
  </si>
  <si>
    <t>Successfully countering a spell deals 1 drain to the caster and you heal 1 drain</t>
  </si>
  <si>
    <t>9U,9B,(24)</t>
  </si>
  <si>
    <t>Spiderclimb</t>
  </si>
  <si>
    <t>You can walk on walls as if they were level ground</t>
  </si>
  <si>
    <t>You can walk on walls as easily as ground. Climb checks are still required, thresholds are lowered.</t>
  </si>
  <si>
    <t>9(G|R),(12)</t>
  </si>
  <si>
    <t>Spiritual Transferrence</t>
  </si>
  <si>
    <t>You may pay drain in place of healing drain your ally would take when receiving healing from you.</t>
  </si>
  <si>
    <t>Spite the Ignorant</t>
  </si>
  <si>
    <t>Counterspelling drains the counterspellee</t>
  </si>
  <si>
    <t>Whenever you successfully counterspell, the caster you counterspelled takes 1 unresisted drain.</t>
  </si>
  <si>
    <t>4U,4B,(12)</t>
  </si>
  <si>
    <t>Stinging Denial</t>
  </si>
  <si>
    <t>Lock enemy out of ability, action you counter</t>
  </si>
  <si>
    <t xml:space="preserve">When you successfully counterspell an opponents spell or ability they cannot use that ability until after the end of their next turn. 
</t>
  </si>
  <si>
    <t>8(W/U)</t>
  </si>
  <si>
    <t>Stoke the flames</t>
  </si>
  <si>
    <t>Increase severity of ignite by hitting a burning target</t>
  </si>
  <si>
    <t>If you would apply a burn to an already burning enemy, increase the current burn by 4 instead if the new burn is not already 4 greater.</t>
  </si>
  <si>
    <t>Stoneskin</t>
  </si>
  <si>
    <t>Damage dampening (Y)</t>
  </si>
  <si>
    <t>Gain +1 damage dampening per rank</t>
  </si>
  <si>
    <t>60 per</t>
  </si>
  <si>
    <t>6G per</t>
  </si>
  <si>
    <t>Supreme Contortionist</t>
  </si>
  <si>
    <t>fit through unusually small spaces</t>
  </si>
  <si>
    <t>You can contort and deform your body to fit in/through spaces smaller than normal.</t>
  </si>
  <si>
    <t xml:space="preserve">1R,(3)
</t>
  </si>
  <si>
    <t>Tangential Luck</t>
  </si>
  <si>
    <t>Various secondary effects that trigger off spending points of luck</t>
  </si>
  <si>
    <t>After you spend a point of luck, you gain +1 die to all pools until the end of the current round.</t>
  </si>
  <si>
    <t xml:space="preserve">9R.(12)
</t>
  </si>
  <si>
    <t>Telepathic link</t>
  </si>
  <si>
    <t xml:space="preserve">Communicate telepathically </t>
  </si>
  <si>
    <t>Range (LOG*10 ft). This is one way communication in which you can convey words given you and your target share a language.
_______________________
You may attune up to LOG targets for two way communication
_______________________
Attuned targets can be communicated with out to LOG*100 ft</t>
  </si>
  <si>
    <t>5,10,15</t>
  </si>
  <si>
    <t>2(U|B),(9) per</t>
  </si>
  <si>
    <t>Time is Mana</t>
  </si>
  <si>
    <t>Can spend drain to cover init costs for U abilities</t>
  </si>
  <si>
    <t>Spend 4 drain per (5) of a blue ability</t>
  </si>
  <si>
    <t>Timely Disruption</t>
  </si>
  <si>
    <t>Readied attacks also inflict their damage as a dice pool penalty to an action they interrupt.</t>
  </si>
  <si>
    <t>Readied attacks also inflict half their damage as a dice pool penalty to an action they interrupt.</t>
  </si>
  <si>
    <t>6(W/U/B)</t>
  </si>
  <si>
    <t>Tireless</t>
  </si>
  <si>
    <t>nonlethal hp +1</t>
  </si>
  <si>
    <t>Increase your maximum nonlethal health by 1.</t>
  </si>
  <si>
    <t>2/4/...</t>
  </si>
  <si>
    <t>Titan Grip</t>
  </si>
  <si>
    <t>Wield Oversized weapons</t>
  </si>
  <si>
    <t>Rank 1: +1 DV, +2 reach or (bonus range increment). The weapon must be ready for it to be used. Attacking with a weapon makes it no longer readied. By spending a half action the weapon(s) can be reset.
Rank 2: reseting it an extra action.</t>
  </si>
  <si>
    <t>10,65</t>
  </si>
  <si>
    <t>3G,3(W|R),(12)
5G,5(W|R),(21)</t>
  </si>
  <si>
    <t>Trap finding</t>
  </si>
  <si>
    <t>trapfinding, the dangerous ones, not the anime ones</t>
  </si>
  <si>
    <t xml:space="preserve">Your passive perception checks do not take the usual penalty to detect traps or other hidden/harmful mechanisms. Additionally you gain 2 dice on all checks to find such things.
</t>
  </si>
  <si>
    <t>4(U/G)</t>
  </si>
  <si>
    <t>Tremorsense</t>
  </si>
  <si>
    <t>Pintpoint awareness of things moving in contact with solid objects you are also in contact with, like the ground</t>
  </si>
  <si>
    <t>15/45/90ft tremorsense</t>
  </si>
  <si>
    <t>10
20
30</t>
  </si>
  <si>
    <t>Uncanny Awareness</t>
  </si>
  <si>
    <t>Harder to surprise, bonuses vs. attacks you aren't aware of</t>
  </si>
  <si>
    <t>You can take an active dodge even when surprised, gain +6 dice on surprise checks initiated against you.</t>
  </si>
  <si>
    <t>12(URG),(15)</t>
  </si>
  <si>
    <t>w</t>
  </si>
  <si>
    <t>Underworld contact</t>
  </si>
  <si>
    <t>It's rather easy for you to get into contact with the local criminal underground and more often than not you start out on their good side</t>
  </si>
  <si>
    <t>gain 3 dice on checks relating to interactions with or knowledge about black markets/criminal undergrounds/fences etc. You may attempt to "know a guy", if the DM permits, spend 1L and you find an underground contact who starts out initially friendly.</t>
  </si>
  <si>
    <t xml:space="preserve">1B,(3)
</t>
  </si>
  <si>
    <t>Unmovable</t>
  </si>
  <si>
    <t>Resist various debuffs, combat maneuvers</t>
  </si>
  <si>
    <t xml:space="preserve">Gain +3 dice against knockdown, disarm, grapple, balance, overrun, and other effects that forcibly move you. </t>
  </si>
  <si>
    <t>R3/R6/R9/R12 G limited</t>
  </si>
  <si>
    <t>Untrackable</t>
  </si>
  <si>
    <t>You cannot be tracked in natural surroundings.</t>
  </si>
  <si>
    <t>With your guidance, the party may move through natural terrain using your stealth or survival check to cover up your tracks.  You are always untrackable when moving through natural terrain alone, however the party cannot gain the benefit of your Untrackable ability when this is the case.</t>
  </si>
  <si>
    <t>Venomous Vitality</t>
  </si>
  <si>
    <t>succeeding on a roll vs. poison grants you 1 temp hp</t>
  </si>
  <si>
    <t>Whenever you succeed on a resistance roll against a poison effect, gain 2 temp hp.</t>
  </si>
  <si>
    <t>3B,3G,(12)</t>
  </si>
  <si>
    <t>Wary Traversal</t>
  </si>
  <si>
    <t>reduce damage from AoOs</t>
  </si>
  <si>
    <t>Halve damage from AoOs after armor, before damage dampening.</t>
  </si>
  <si>
    <t>???</t>
  </si>
  <si>
    <t>Water Walking</t>
  </si>
  <si>
    <t>You can walk on water as if it were solid ground</t>
  </si>
  <si>
    <t>7(U|G),(9)</t>
  </si>
  <si>
    <t>What goes around comes around</t>
  </si>
  <si>
    <t>Gain 1 die on your next attack for each damage you take</t>
  </si>
  <si>
    <t>For every 2 points of damage you take add one die to your revenge pool. Add your revenge pool to the next attack you make, this sets your revenge pool to 0 afterwards. If you have not added a die to your revenge pool in the last 3 rounds, your revenge pool resets to 0.</t>
  </si>
  <si>
    <t xml:space="preserve">3B,3R,(9)
</t>
  </si>
  <si>
    <t xml:space="preserve">Passive
</t>
  </si>
  <si>
    <t>Restorative Resonance</t>
  </si>
  <si>
    <t>Whenever you heal an ally, trigge a heal on another nearby ally</t>
  </si>
  <si>
    <t>Whenever an effect of yours heals an ally, heal another ally within 30' of one of the original healing recipients for 2. This ability can't trigger itself</t>
  </si>
  <si>
    <t>Awaken</t>
  </si>
  <si>
    <t>Stir sentience in a creature</t>
  </si>
  <si>
    <t>24 Hour
You awaken an animal to humanlike sentience. The creature is initially indifferent to you. Awakened creatures have 3 LOG and are magical beasts. Ritual participants need to pay drain equal to the maximum health of the creature or the ritual fails.</t>
  </si>
  <si>
    <t>18G,(30)</t>
  </si>
  <si>
    <t>Foretelling</t>
  </si>
  <si>
    <t>Determine what fate might result from a given course of action</t>
  </si>
  <si>
    <t>1 Minute Ritual. Costs 1 drain.
Answers a question about an action to be taken in the near future (roughly 1 hour)
Weal (if the action will probably bring good results).
Woe (for bad results).Weal and woe (for both).
Nothing (for actions that don’t have especially good or bad results)
.</t>
  </si>
  <si>
    <t>Natural Refuge</t>
  </si>
  <si>
    <t>Produce a temporary refuge for you and a few others out of natural terrain</t>
  </si>
  <si>
    <t xml:space="preserve">10 Minute ritual.
The immediate local terrain reshapes itself to a form more suitable for conealment and quiet rest. This may take the form of a dense thicket wrapping itself around your encapment, a vine obscured cave developing in the earth, or similar as chosen by your GM. The immutable features of the refuge are that it is difficult for others to find (Perception TN 4) and may otherwise be passed off as a natural formation unworthy of note. Furthermore hazards and nuisances are downgraded one step (as per DM choice). Instead of swarming flies there's only a few straggling bloodsuckers, instead of the scorching heat of the desert it is uncomfortable but manageably warm, instead of pouring rain you merely have to deal with damp air and occassional droplets etc. </t>
  </si>
  <si>
    <t>Purification</t>
  </si>
  <si>
    <t>1 hour ritual to remove persistent conditions lesser abilities can't remove</t>
  </si>
  <si>
    <t>1 hour ritual. Costs 1 drain from a single participant. Targets 1 individual. Individual can roll to end any of all persistent afflictions it is suffering, gaining a +5 bonus on each roll.</t>
  </si>
  <si>
    <t>4W,(18)</t>
  </si>
  <si>
    <t>Spell</t>
  </si>
  <si>
    <t>Armor</t>
  </si>
  <si>
    <t>Increase armor by hits</t>
  </si>
  <si>
    <t>SUST TRGT(SELF)
Add 1 to armor soak for the duration of this spell.
Casting this spell is a half action
Overloads
2: AoE, +10ft per
2: +1 extra armor</t>
  </si>
  <si>
    <t>Banishment</t>
  </si>
  <si>
    <t>Direct, opposed check to banish</t>
  </si>
  <si>
    <t xml:space="preserve">INST TRGT TOUCH
eDV = CS + 1
Resist = Mental Resist
Soak = Physical Soak
If the target is not an extraplanar creature this spell has no effect
0: no effect
1: the target takes -5 to all rolls until the end of the round
9: the target is banished
Overloads
2: ranged
2: AoE, +5ft diameter per
2: +1 eDV
</t>
  </si>
  <si>
    <t>Call Down the Sky</t>
  </si>
  <si>
    <t>Drop meteors on target locations</t>
  </si>
  <si>
    <t>This spell is cast with three consecutive full actions over three consecutive rounds, resolving asthe third full action is spent.
INST AoE
DV: CS+9 (FIRE)
Dodge/armor soak
Targets: four 40ft diameter regions. A target can only be struck once by each casting of Call Down The Sky.
Overloads
2: +1 DV</t>
  </si>
  <si>
    <t>Cause Fear</t>
  </si>
  <si>
    <t>Affected enemies flee if able</t>
  </si>
  <si>
    <t>INST SINGLE AOE
eDV = CS - 1
Resist = mental
Soak = mental
for every 8 damage this ability would do (round up) the target takes 1 fear stack 
Overloads
2: +1 DV
2: +5ft AoE</t>
  </si>
  <si>
    <t>Clairvoyance</t>
  </si>
  <si>
    <t>See, hear from nearby location</t>
  </si>
  <si>
    <t>SUST SELF
Range = CS*10ft
You create a scrying sensor at a nearby location within RANGE. You can see and hear as if you are at that location. Casting this spell is a half action.
Overloads
2: +CS*10 ft range</t>
  </si>
  <si>
    <t xml:space="preserve">4U,(9)
</t>
  </si>
  <si>
    <t>Confusion</t>
  </si>
  <si>
    <t>Cause affected targets to behave erratically for duration. PENDING REWORK</t>
  </si>
  <si>
    <t>DIRECT SUST SINGLE AOE
eDV = CS + 1
Resist = mental
Soak = mental
0: no effect
1: Target rolls twice on confusion and picks their choice
9: target is confused until end of next round
each 2 beyond: Target is confused for another round
Overloads
2: +1 eDV
2: +5ft diameter
Confused:
25% does nothing
25% runs in a random direction
25% attacks nearest target
25% act normally</t>
  </si>
  <si>
    <t>Create Light</t>
  </si>
  <si>
    <t>Cause object touched to emanate light</t>
  </si>
  <si>
    <t>INST SUST
Light diameter 10ft per CS/2
Casting this spell is a half action
Overloads
1: +5ft diameter</t>
  </si>
  <si>
    <t>Curse of Vulnerability</t>
  </si>
  <si>
    <t>Reduce enemy's damage dampening</t>
  </si>
  <si>
    <t>SUST, AOE
10ft diameter target area
eDV =  CS - 1
Resist = Physical
Soak = Physical
Overloads
2: +1 eDV
2: +5ft diameter
For every 2 unsoaked eDV this spell inflicts a -1 damage vulnerability.</t>
  </si>
  <si>
    <t>Dampening Field</t>
  </si>
  <si>
    <t>Reduce magical effects by HITS up to FORCE</t>
  </si>
  <si>
    <t>SUST AOE
10ft diameter
Reduce the DV of magical effects in the area by CS/2
Casting this spell is a half action
Overloads:
2: +5ft diameter
2: +1 additional reduction</t>
  </si>
  <si>
    <t>9(W|U),(12)</t>
  </si>
  <si>
    <t>Danger Sense</t>
  </si>
  <si>
    <t>HITS to defensive dice pool up to FORCE/2</t>
  </si>
  <si>
    <t>SUST SELF
Add 1 to defensive checks (passive and active dodge,parry,block) for duration of spell
Casting this spell is a half action
Overloads
2: increase the bonus by +1</t>
  </si>
  <si>
    <t>7(W|U|G),(9)</t>
  </si>
  <si>
    <t>Death Blast</t>
  </si>
  <si>
    <t>Direct damage kill spell</t>
  </si>
  <si>
    <t xml:space="preserve">INST/SUST
Touch (non provoking), ranged
DV = CS+3
Resist = Dodge,Block
Soak = Armor
Overloads
2: +1DV
2: AoE per 5ft diameter, (note that it starts at 5ft effectively) 
4: Sust
</t>
  </si>
  <si>
    <t>4B</t>
  </si>
  <si>
    <t>Detect Hostile Intent</t>
  </si>
  <si>
    <t>Detect those with hostile intent towards caster</t>
  </si>
  <si>
    <t>SELF
5ft cone
Casting this spell is a half action
Overloads
2: +5ft radius
Grants you a sixth sense to detect creatures with hostile intent towards you within the range, LoS permitting. Perceive Magic is rolled for this sense, opposed by con.</t>
  </si>
  <si>
    <t>4(W|B),(9)</t>
  </si>
  <si>
    <t>Detect Life</t>
  </si>
  <si>
    <t>Detect living creatures in a forward facing cone</t>
  </si>
  <si>
    <t>SELF
5ft cone
Casting this spell is a half action
Overloads
2: +5ft radius
Grants you a sixth sense to detect creatures with hostile intent towards you within the range, LoS permitting. Perceive Magic is rolled for this sense, opposed by stealth.</t>
  </si>
  <si>
    <t>WG</t>
  </si>
  <si>
    <t>Detect X</t>
  </si>
  <si>
    <t>As Detect Life, only one type of creature, color alignment, etc.</t>
  </si>
  <si>
    <t>WBUG</t>
  </si>
  <si>
    <t>Dispel Magic</t>
  </si>
  <si>
    <t xml:space="preserve">Dispell ongoing magical effects. </t>
  </si>
  <si>
    <t>INST SINGLE/AOE
Spellcasting roll is opposed by the spellcasting roll of the magical effect(s). If the net hits plus 2* CAST STAT is greater than the 2* CAST STAT of the magical effect, the magical effect ends.
Overload
2: +5ft diameter AoE
2: +1 effective cast stat for dispelling</t>
  </si>
  <si>
    <t>12(W|U|G),(15)</t>
  </si>
  <si>
    <t>Elemental Blast</t>
  </si>
  <si>
    <t>F elemental damage, purchased per element type
W-radiant
U-Cold
B-Acid, dark
R-Lighting, fire
G-Acid</t>
  </si>
  <si>
    <t>INST/SUST
Touch (non provoking), ranged
DV = CS+1 (ELEMENT)
Resist = Dodge,Block
Soak = Armor
Overloads
2: +1DV
2: AoE per 5ft diameter, (note that it starts at 5ft effectively) 
4: Sust (repeat the attack at the target location at the end of every round it is sustained. This repeat attack is always treated as an AoE. You may move the target area of this sustained spell as a half action.)
This attack does elemental damage of the chosen type, fixed upon purchase of ability.</t>
  </si>
  <si>
    <t xml:space="preserve">4*C*,(9)
</t>
  </si>
  <si>
    <t>Elsewhere Impulse</t>
  </si>
  <si>
    <t>Mind affecting mass AoE incapacitate</t>
  </si>
  <si>
    <t>This spell is cast with three consecutive full actions over three consecutive turns, resolving as the third full action is spent.
INST AoE
eDV: CS+5
Mental/Mental soak
Targets: One 40ft radius area.
Effects
0: The target may not both move and take half/full actions until the end of the next round.
1: As 0, the target is also blinded and deafened
5: As 1, all the target's senses are suppressed
9+: As 5, the target is also stunned.
Overloads
2: +1 DV</t>
  </si>
  <si>
    <t>12B,(18)</t>
  </si>
  <si>
    <t>End of Days</t>
  </si>
  <si>
    <t>AoE save or die</t>
  </si>
  <si>
    <t>This spell is cast with three consecutive full actions over three consecutive rounds, resolving after the third full action is spent.
INST AoE
eDV: CS+5
Physical resist/physical soak
Targets that would take any damge from this ability instead lose 1 LUK, if they cannot lose 1 LUK they instead die.
Targets: 50ft Diameter.
Overloads
2: +1 DV
2: +10ft diameter</t>
  </si>
  <si>
    <t>24B,(30)</t>
  </si>
  <si>
    <t>Energy Wall</t>
  </si>
  <si>
    <t>1 point of Armor and Structure rating per hit. Barrier regenerates at start of next turn.</t>
  </si>
  <si>
    <t xml:space="preserve">SUST
CS/2 * 5ft length, 5ft height. CS*2 health. WIL*2 barrier rating. Wall health replenishes end of round.
Attacks creatures that enter, or are adjacent at end of round, with Spellcasting for CS+5 DV. Wall cannot be cast overlapping creatures.
Physical res / armor soak
Overloads
2: +1 DV
2: +5ft length
2: +5ft height
1: +2 hp
1: +1 barrier rating
</t>
  </si>
  <si>
    <t>WUGRB</t>
  </si>
  <si>
    <t>Eye of the Hurricane</t>
  </si>
  <si>
    <t>Create a wind effect centered on yourself that knocks others back</t>
  </si>
  <si>
    <t xml:space="preserve">INST AOE SELF
5ft radius (from self)
eDV = CS + 5
Physical Resist
Physical Soak
0: no effect
1: 5ft pushback
9: prone
each 2 beyond, +5ft pushback
Overloads:
2: +1 eDV
3: +5ft radius
Make an opposed check against adjacent targets' Physical Resist using your spellcasting dicepool. On success, they are driven back. Succeed by 3 or more and they are knocked prone. Succeed by 6 or more and they are sent flying.
</t>
  </si>
  <si>
    <t>UG</t>
  </si>
  <si>
    <t>Finger of Death</t>
  </si>
  <si>
    <t>Single target save or die</t>
  </si>
  <si>
    <t>INST
eDV: CS-1
Dodge or block
physical soak
Overloads
2: +1 eDV
Targets that do not fully soak this ability instead lose 1 LUK, if they cannot lose 1 LUK they instead die.</t>
  </si>
  <si>
    <t>12B,(24)</t>
  </si>
  <si>
    <t>Flash Freeze</t>
  </si>
  <si>
    <t>Damage init with ice</t>
  </si>
  <si>
    <t xml:space="preserve">INST, DIRECT, AOE (centered on self)
eDV = CS+5 (5ft radius)
Dodge
Armor soak
Overloads
2: +1 eDV 
2: +5ft radius
Flash Freeze does no damage, though it still applies the resulting DV as initiative damage.
</t>
  </si>
  <si>
    <t>Fling</t>
  </si>
  <si>
    <t>Toss object as if with STR = MAG/2</t>
  </si>
  <si>
    <t>INST TRGT
Throw an object with effective STR = CS-2
When throwing a weapon or other similarly sized item (limited to weapons of your size) you may resolve the fling as an attack roll when directing the object at a specific target. When throwing larger objects the item is treated as a falling object and creatures in the target zone are entitled to a dodge(2) threshold check to avoid it.
Overloads
2: +1 effective STR</t>
  </si>
  <si>
    <t>3R,(6)</t>
  </si>
  <si>
    <t>Flying</t>
  </si>
  <si>
    <t>Very powerful, so yes much fly</t>
  </si>
  <si>
    <t>SUST (SELF)
Grants flight rank 1
4: +1 flight rank
3: +1 allied target</t>
  </si>
  <si>
    <t xml:space="preserve">
15U,(21)</t>
  </si>
  <si>
    <t>Fog</t>
  </si>
  <si>
    <t>A dense blanket of fog rolls in clouding vision.  Fog moves into the region.  Everyone inside can only see 10 ft away clearly and 20 ft dimly.  Fog rolls into lower regions in the area.  If on higher elevations, the fog will dissipate faster.  Fog will not sustain in high winds or existing rainstorms.</t>
  </si>
  <si>
    <t xml:space="preserve">SUST
5ft diameter per CS
first 5ft of fog grant moderate concealment, 10ft+ total concealment.
Overloads
3: +5ft diameter
</t>
  </si>
  <si>
    <t>4(U|G),(9)</t>
  </si>
  <si>
    <t>Glitterdust</t>
  </si>
  <si>
    <t>Chance to blind, reveal invis</t>
  </si>
  <si>
    <t>AOE
eDV = CS +3
Resist with mental res. Soak with mental soak. 
final eDV
0: target is illuminated for a minute
1: plus target suffers -2 vision penalties and attackers get superior ground against the target until end of next round.
9: plus target is blinded until the end of the round.
Overloads
2: +1 eDV
2: +5t diameter</t>
  </si>
  <si>
    <t>4(W/G),(15)</t>
  </si>
  <si>
    <t>Gust of Wind</t>
  </si>
  <si>
    <t>Magical bullrush based off spell force // up to net hits?</t>
  </si>
  <si>
    <t>INST AOE
eDV = CS
5ft cone
Physical Resist
Physical Soak
Overloads:
2: +1 eDV
2: +5ft radius
For every 4 applied eDV push the target 1 square, pushing 3+ squares knocks the target prone.</t>
  </si>
  <si>
    <t>RG</t>
  </si>
  <si>
    <t>Haste</t>
  </si>
  <si>
    <t>5 more speed per 2 HITS up to FORCE HITS</t>
  </si>
  <si>
    <t>SUST TRGT(SELF)
Recipient gains 5 speed per CS/2
Casting this spell is a half action
Overloads
4: +5ft bonus</t>
  </si>
  <si>
    <t>3(U|R),(6)</t>
  </si>
  <si>
    <t>Hush</t>
  </si>
  <si>
    <t>Applies penalty to those attempting to hear the subject</t>
  </si>
  <si>
    <t>SUST SINGLE/AOE TRGT(SELF)
Inflict CS/2 penalty on audio perception checks attempting to perceive subject 
Casting this spell is a half action
Overloads:
4: +1 penalty
4: +5ft radius</t>
  </si>
  <si>
    <t>UB</t>
  </si>
  <si>
    <t>Ice Conjuring</t>
  </si>
  <si>
    <t>Shape and conjure ice</t>
  </si>
  <si>
    <t>INST
You can conjure ice into any shape that suits your purpose. While it’s possible to make crude coffers, doors, and so forth with this function, fine detail isn’t possible. (10 cubic feet per CS/2). For surfaces you can choose rough (nonslip) or smooth (checks required) ice. Ice has (3 HP per cubic foot and barrier rating 5) . (40 cubic feet per CS/2) of existing ice may be reshaped instead. Ice cannot be conjured into occupied space, cannot exert force in the conjuring process, or be conjured flush with intricate surfaces.
Overloads:
(2): +10 cubic feet conjured
(2): +40 cubic feet reshaped
You can form ice with focused detail into an object that suits your purpose. You may create multiple items as part of the same action up to a total of CS/6 items. If shaping the item from existing ice, you may instead create one item per CS/2.
Overloads:
(6): +1 item with no preexisting ice
(2): +1 item with preexisting ice
You can flash freeze existing water and liquids that are not part of living or animate creatures, you may be able to use this as an attack against specific creatures with your GM's discretion (A creature formed entirely of water). If the objects are attended they are entitled to resist.
(If targeting attended liquids)
eDV = CS+4
Mental resist/Physical soak
Freeze 5 cubic feet per unsoaked eDV
Overloads:
(2): +1 eDV</t>
  </si>
  <si>
    <t>7U,(15)</t>
  </si>
  <si>
    <t>Ignite</t>
  </si>
  <si>
    <t>Set a target on fire</t>
  </si>
  <si>
    <t>INST TRGT
eDV = CS-2
physical resist
ignites target for modified eDV
Overloads:
2: +1 eDV
3: +5ft AoE</t>
  </si>
  <si>
    <t>Invisibility</t>
  </si>
  <si>
    <t>drastically reduce chance to be noticed by sight</t>
  </si>
  <si>
    <t>SUST SINGLE/AOE TRGT(SELF)
CS/2 penalty to being perceived visually.
Casting this spell is a half action.
Overloads:
2: -1 additional penalty
2: +5ft radius</t>
  </si>
  <si>
    <t>7(U|B),(9)</t>
  </si>
  <si>
    <t>Lay on Hands</t>
  </si>
  <si>
    <t>Heal lethal</t>
  </si>
  <si>
    <t xml:space="preserve">INST DIRECT TRGT(SELF)
Heals a wound for up to CS/2
Overloads:
2: +1 max heal </t>
  </si>
  <si>
    <t>3W,(6)</t>
  </si>
  <si>
    <t>Levitate</t>
  </si>
  <si>
    <t>Levitate objects, people</t>
  </si>
  <si>
    <t xml:space="preserve">SUST TRGT
Range = 30 ft
Lift up to 50kg per CS (single object or clump of objects)
Or up to SPELLCASTING individual objects of negligible weight
Can only target attended objects if the attendee is willing
Cannot move objects that are stuck or restrained
Affecting a creature requires an opposed check 
eDV = CS-1
mental/phys
0: no effect
1+: the target is lifted up and dropped prone if they fail a (2) acrobatics check
9+ the target is levitated until the end of the round
Overloads
2: +1 eDV
2: +5ft range
You can move the target at a rate of 5ft per half action, or in the case of multiple small objects, 20ft. As a half action you can also set the object(s) to follow you, but they are limited to traveling at the listed speeds per round and move at the end of the round. Targets can be raised at most 30ft off the ground and if moved to be higher will descend safely at 60ft per round. </t>
  </si>
  <si>
    <t>Life drain</t>
  </si>
  <si>
    <t>force save, heal user, etc</t>
  </si>
  <si>
    <t>INST INDIRECT
Touch
CS DV
Dodge, block, parry
Physical Soak
Gain temporary HP equal to half the damage dealt. Damage is dealt as drain damage.</t>
  </si>
  <si>
    <t>3B,(12)</t>
  </si>
  <si>
    <t>Lightning Storm</t>
  </si>
  <si>
    <t>Build up an escalating number of bolts, then unleash them all at once.</t>
  </si>
  <si>
    <t>INST INDIRECT
CS+1 DV
Casting a new Lightning Storm starts a Storm Pool at 1. Each subsequent casting of Lightning Storm under the same conditions adds 1 more to the storm pool than the previous casting (+2,+3... etc) up to a maximum of WIL+(mainstat) maximum points in your Storm Pool. As an Extra action you may expend all points in your storm pool to designate the target area for this ability, resolving one single target attack per Storm Pool Point split equally among targets.
Overloads:
2: +1 DV</t>
  </si>
  <si>
    <t>Mage Hand</t>
  </si>
  <si>
    <t>Hits = STR and AGI of hands, -2 on skills performed with hands</t>
  </si>
  <si>
    <t>SUST
Range = 10 ft
CS-2 = STR and AGI of hand.
You have mild tactile feedback through the hand but cannot feel temperature
Overloads:
4: +1 effective STR and AGI
2: +5ft range.</t>
  </si>
  <si>
    <t xml:space="preserve">3U,(6)
</t>
  </si>
  <si>
    <t>Mask</t>
  </si>
  <si>
    <t>Disguises an individual. Hits contribute to disguise up to FORCE as cap.</t>
  </si>
  <si>
    <t>SUST TRGT(SELF)
CS/2 bonus to disguise
Overloads:
4: +1 disguise bonus
2: +5ft radius
Casting this spell is a half action</t>
  </si>
  <si>
    <t xml:space="preserve">1U,1B,1(U|B),(6)
</t>
  </si>
  <si>
    <t>Mass Translocation</t>
  </si>
  <si>
    <t>All willing allies may exchange places with one another</t>
  </si>
  <si>
    <t>INST AoE
CS/2 * 5ft radius
All willing targets within the area may exchange places with one another.
Overloads:
2: +5ft radius</t>
  </si>
  <si>
    <t>6(W|U),(12)</t>
  </si>
  <si>
    <t>Memory Cast</t>
  </si>
  <si>
    <t>Copy spell you recently saw cast</t>
  </si>
  <si>
    <t>(Same action as targeted spell).
Make a perceive magic check against DC (rounds since you saw the spell cast). On success you cast the spell (using your own spellcasting and cast stat, paying for overloads that you have access to etc.)</t>
  </si>
  <si>
    <t>Mind Control</t>
  </si>
  <si>
    <t>TRGT SUST
CS+1 eDV
Mental Resist
Mental Soak
0: no effect
1: target cannot move if it takes an action on its next turn, or cannot take an action if it moves on its next turn.
9: Target is mind controlled until the end of its next turn
each  2 beyond: +1 turn MC
(clause for more saves to escape. clause for making it permanent)
Overloads:
2: +1 eDV</t>
  </si>
  <si>
    <t>Mindblank</t>
  </si>
  <si>
    <t>HITS to dice pool against mind affecting and divination up to FORCE/2</t>
  </si>
  <si>
    <t>SUST SELF
CS/2 to dice pool against mind affecting and divination effects.
Casting this spell is a half action
Overloads
4: +5ft radius
2: +1 bonus</t>
  </si>
  <si>
    <t>6(U|B),(12)</t>
  </si>
  <si>
    <t>Petrify</t>
  </si>
  <si>
    <t>Petrify target</t>
  </si>
  <si>
    <t>INST DIRECT TRGT
CS +1 eDV
Target resists with physical resistance
Target then soaks with mental soak
0: no effect
1: target may either move or use actions on their next turn but not both.
9: Target is petrified until the end of the round
each 4 beyond: Target is petrified for an additional round
overloads:
2: +1 eDV</t>
  </si>
  <si>
    <t>1B,1G,1(G|B),(12)</t>
  </si>
  <si>
    <t>Phantasm</t>
  </si>
  <si>
    <t>Create illusory effects. Individuals directly interacting have chance to disbelieve. Indirect interaction has chance to disbelieve or discern the effect is illusory.</t>
  </si>
  <si>
    <t xml:space="preserve">SUST
Default: stationary image
Resisted with mental res/mental soak
eDV = CS + 1
0: The subject sees through the illusion
1+: The target is aware the effect is an illusion, but has difficulty seeing through, treat as partial concelament for things within the illusion.
9+: The target believes the effect is real until it is otherwise demonstrated to be an illusion.
Overloads:
2: +1 eDV
2: The phantasm can produce sound
2: the phantasm can move
</t>
  </si>
  <si>
    <t>Rageful Treason</t>
  </si>
  <si>
    <t>This turn an enemy attacks their allies in a blinding fury of rage</t>
  </si>
  <si>
    <t>INST TRGT
CS+1 eDV
mental res
mental soak
0: no effect
1: target must take the attack action on its next turn
9: target considers enemies as allies and allies as enemies on its next turn
Overloads:
2: +1 eDV
4: +5ft diameter</t>
  </si>
  <si>
    <t>8R</t>
  </si>
  <si>
    <t>Rejuvenate</t>
  </si>
  <si>
    <t>Heal over time</t>
  </si>
  <si>
    <t>SUST TRGT(SELF)
Heals 2 per round up to CS or full health. Healing occurs at the end of the round.
Overloads:
1: +1 max heal</t>
  </si>
  <si>
    <t>4G,(6)</t>
  </si>
  <si>
    <t>Renew Vitality</t>
  </si>
  <si>
    <t>INST TRGT(SELF)
Heals for up to CS/2 lethal damage.
Overloads:
1: +1 heal</t>
  </si>
  <si>
    <t>Seal</t>
  </si>
  <si>
    <t>Reinforce lock, door, etc against opening, +1 threshold per hit up to FORCE / 2.
Unseal</t>
  </si>
  <si>
    <t>SUST TRGT
+ CS/2 to door/lock threshold
_____________________________________
+ CS/2 to lockpicking checks
Casting this spell is a half action
Overloads:
2: +1 bonus to lockpicking
4: +1 to door/lock threshold</t>
  </si>
  <si>
    <t>3(W|U|G),(6)</t>
  </si>
  <si>
    <t>Sending</t>
  </si>
  <si>
    <t>Send message of X words per hit</t>
  </si>
  <si>
    <t xml:space="preserve">INST
Send a message of 25 words up to (CS*10) feet to a known recipient.
Overloads:
3: *10 distance
3: send a picture instead
</t>
  </si>
  <si>
    <t>Shadow</t>
  </si>
  <si>
    <t>Reduce visibility in an area</t>
  </si>
  <si>
    <t>SUST AoE
Area = 15ft radius, reduce visibility by CS/2
Overloads:
2: +1 visibility reduction
2: +5ft radius</t>
  </si>
  <si>
    <t>1B,(6)</t>
  </si>
  <si>
    <t>Shatter</t>
  </si>
  <si>
    <t>Break objects</t>
  </si>
  <si>
    <t>DIRECT INST
DV = CS+3
Can only target objects. Attended objects are entitled to physical resist and physical soak on top of their hardness.
Overloads:
2: +1 eDV</t>
  </si>
  <si>
    <t xml:space="preserve">7(W|R|G),(9)
</t>
  </si>
  <si>
    <t>Sheepstick</t>
  </si>
  <si>
    <t>The target is turned into a dimminutive animal: squirrel, bunny, sheep (1/1) NOT GOATS, GOATS ARE (0/1)</t>
  </si>
  <si>
    <t>INST SUST TRGT
CS+1 eDV
mental resist
physical soak
0: no effect
1: target can't both move and take actions on their next turn
9: Target is turned into a small harmless creature until the end of the round. This effect ends early if they are targeted by any hostile effects.
each 4 beyond: Effect persists for another round
Overloads:
2: +1 eDV</t>
  </si>
  <si>
    <t>Sleep</t>
  </si>
  <si>
    <t>Put targets to sleep, damage / other stuff wakes (needs updating for overload and doubling?)</t>
  </si>
  <si>
    <t xml:space="preserve">SUST AOE
CS+2 eDV
(5ft diameter)
Target resists with mental resist
Target then soaks with mental soak.
0: no effect
1: the target is staggered on its next turn.
5: The target also cannot perform interrupt or full actions.
9+: the target is put to sleep for eDV-4 turns, waking on damage.
Overloads:
2: +1 eDV
3: +5ft diameter
</t>
  </si>
  <si>
    <t>6U,(12)</t>
  </si>
  <si>
    <t>Stasis</t>
  </si>
  <si>
    <t>Remove target from reality for a turn (needs updating for overload and doubling)</t>
  </si>
  <si>
    <t xml:space="preserve">INST TRGT
F/2 + 4
F/2 +3 eDV
Target resists with mental resist.
Target soaks with mental soak. If this spell would do damage the target is instead removed from reality for the rest of the round. When removed from reality the target may not take turns, may not be targeted or interacted with. It does not occupy space, time does not pass for it. It returns at the start of the next round in or as close to where it departed from. 
</t>
  </si>
  <si>
    <t>6W,6U,(27)</t>
  </si>
  <si>
    <t>Suggestion</t>
  </si>
  <si>
    <t>Implant a compulsion in targets mind</t>
  </si>
  <si>
    <t>INST SINGLE/AOE MIND-AFFECTING TRGT
CS+3 eDV
Mental resist
Mental soak
0: no effect
1: Suggestion lasts for a minute
9: suggestion lasts for an hour
each 4 beyond: Double the duration
Overloads:
2: +1 eDV
2: +5ft diameter</t>
  </si>
  <si>
    <t>4(U|B),(9)</t>
  </si>
  <si>
    <t>Time Spiral</t>
  </si>
  <si>
    <t>All creatures involved in combat reroll initiative</t>
  </si>
  <si>
    <t>AoE INST
Aoe 5ft. base.
All creatures in the current combat reroll initiative.
Overload:
+2: +5ft aoe</t>
  </si>
  <si>
    <t>18U, 30</t>
  </si>
  <si>
    <t>Translocating Eye</t>
  </si>
  <si>
    <t>Two target creatures swap places</t>
  </si>
  <si>
    <t xml:space="preserve">INST TRGT
Two target creatures within RANGE swap places. If a target is unwilling, target resists with mental res/phys soak
eDV = CS-2
0: the swap does not occur
1+: the swap occurs
</t>
  </si>
  <si>
    <t>True Seeing</t>
  </si>
  <si>
    <t>Imbued with visions of the truth, illusions and magical darkness melt from your vision, and all is clear.  Negate up to HITS penalty/bonus from illusions, magical or normal darkness, concealment etc</t>
  </si>
  <si>
    <t>SUST SELF
Ignore up to 1 penalty on visual perception rolls.
Casting this spell is a half action
Overloads:
2: +1 additional penalty ignored</t>
  </si>
  <si>
    <t>Truelight</t>
  </si>
  <si>
    <t xml:space="preserve">Reduce vision penalties in an area
</t>
  </si>
  <si>
    <t xml:space="preserve">AOE SUST optional:SELF
Casting this spell is a half action. This spell produces a 5ft radius area.
Reduce vision penalties in the area by 1.
Overloads:
2: further reduce penalties by an additional 1
1: increase radius by 5ft.
</t>
  </si>
  <si>
    <t>3(W|U|G),(9)</t>
  </si>
  <si>
    <t>Unto Nowhere</t>
  </si>
  <si>
    <t>Progressively delete a target from reality</t>
  </si>
  <si>
    <t>DIRECT SUST
eDV = CS+1
Mental res / Mental soak
Overloads:
(2): +1 DV
While you sustain this spell the target cannot take any physical actions, the target is immune to all other attacks. On your turn you may spend a full action to repeat the attack, except you lose 1 health for each point of damage you inflict upon the target plus 1 health for each time this instance of the spell has been sustained. If you do not successfully repeat the attack on your turn the spell ends (a successful attack is one that deals damage to the target).</t>
  </si>
  <si>
    <t>Wall of Force</t>
  </si>
  <si>
    <t xml:space="preserve">SUST
This spell produces up to 30 square feet of shimmering, opaque barrier that span between bounding points decided upon by the caster. The barrier cannot exert force or otherwise displace objects as it is created.
Barrier rating: 3+CS, barrier hp, 8+CS. Barrier regenerates at start of next turn.
Overloads:
1: +5 square feet of area
2: +1 Barrier Rating
</t>
  </si>
  <si>
    <t>4W,4U,(18)</t>
  </si>
  <si>
    <t>Warp World</t>
  </si>
  <si>
    <t>All allies and enemies in the encounter randomly swap positions</t>
  </si>
  <si>
    <t>INST AOE
F/2+2
All creatures that fail to save or are willing within F*M*3 ft (round up for squares) randomly swap places. 
Resolution advice: remove all subjects and mark their locations, roll one by one for each subject's reentry to a location after assigning each location a number.</t>
  </si>
  <si>
    <t>14R,(18)</t>
  </si>
  <si>
    <t>Word of Binding</t>
  </si>
  <si>
    <t>Save or suck no physical actions (needs doubling and overload)</t>
  </si>
  <si>
    <t>SUST TRGT
CS+1 eDV
Mental Res
Mental Soak
0: nothing
1: half movement, lose a half action
9: Paralyzed 1 turn
each 2 additiona, paralyzed +1 turn
Overloads:
(2): +1 eDV</t>
  </si>
  <si>
    <t>Zone of Silence</t>
  </si>
  <si>
    <t>Silence an area</t>
  </si>
  <si>
    <t xml:space="preserve">Sets a threshold of CS/2+4 for casting. Casting within the aoe, the caster must roll above CS/2+4 to cast a spell.
Overload:
+1: +5ft Aoe
+2: +1 threshold </t>
  </si>
  <si>
    <t>6W, (18)</t>
  </si>
  <si>
    <t>1v1 me bro</t>
  </si>
  <si>
    <t>Ignore full defense, free parries vs. stuff you are fighting</t>
  </si>
  <si>
    <t>When your target is threatened only by you and you are at most only threatened by your target you ignore that enemy's full defense with melee attacks. After attacking an enemy, the next parry you attempt against that enemy this round costs (0).</t>
  </si>
  <si>
    <t>Adroit riposte</t>
  </si>
  <si>
    <t>bonus vs. enemies who are foiled by your parry // only costs (1) to riposte</t>
  </si>
  <si>
    <t xml:space="preserve">When your parry prevents an attack from hitting add (NET HITS) to your next attack against that opponent. It only costs (1) to make a riposte. Enemies do not benefit from reach when you are riposting. </t>
  </si>
  <si>
    <t>4W,4U,(15)</t>
  </si>
  <si>
    <t>Analyze Dweomer</t>
  </si>
  <si>
    <t>High focus detect and analyze magic</t>
  </si>
  <si>
    <t>You may make Perceive Magic checks with your spellcasting dicepool, but only for objects you are physically touching or effects you are in contact with.</t>
  </si>
  <si>
    <t>1U,(3)</t>
  </si>
  <si>
    <t>Berserker</t>
  </si>
  <si>
    <t>full offense</t>
  </si>
  <si>
    <t>Your dice explode on attack actions. All active defenses cost an additional (5).</t>
  </si>
  <si>
    <t xml:space="preserve">12(B|R),(15)
</t>
  </si>
  <si>
    <t>Celeritas Dominus</t>
  </si>
  <si>
    <t>When casting a spell, extra mobility options become available</t>
  </si>
  <si>
    <t>When casting a...\nRed: Shift 1; Blue: tele 10ft; RU: choose one
When casting a... \nRed: Shift 2; Blue: tele 15ft; RU; both</t>
  </si>
  <si>
    <t>8(R/U) per</t>
  </si>
  <si>
    <t>Center of Attention</t>
  </si>
  <si>
    <t>Attacks that don't target you provoke</t>
  </si>
  <si>
    <t>Enemies that take attacks or actions that include your allies but not any creatures with Center of Attention active as target(s) provoke an opportunity attack from you.</t>
  </si>
  <si>
    <t>3W,3B,(15)</t>
  </si>
  <si>
    <t>Counterspell Stance</t>
  </si>
  <si>
    <t>Counterspelling costs (5)</t>
  </si>
  <si>
    <t>Counterspelling costs (5). You are always making passive perception checks to detect magic within 10* (cast stat) feet of you and are aware of what spell is being cast.</t>
  </si>
  <si>
    <t xml:space="preserve">6U,(12)
</t>
  </si>
  <si>
    <t>dodge stance</t>
  </si>
  <si>
    <t>Move after dodging</t>
  </si>
  <si>
    <t>Every time you attempt a dodge you may shift 5ft after resolving the dodge.</t>
  </si>
  <si>
    <t xml:space="preserve">9(U|B|R),(12)
</t>
  </si>
  <si>
    <t>Horde Culling Stance</t>
  </si>
  <si>
    <t>bonuses when fighting multiple opponents, ignore some penalties from being outnumbered</t>
  </si>
  <si>
    <t>2 extra dice on each attack per target when attacking multiple targets with melee. Opponents do not get bonus dice for outnumbering you in melee.</t>
  </si>
  <si>
    <t>Never Outnumbered</t>
  </si>
  <si>
    <t>Bonus to evasion for each enemy in sight, up to X</t>
  </si>
  <si>
    <t>Gain 1 die on dodge and full dodge for each enemy within 60' (LOS and LOE required) to a maximum of half your tradition rank.</t>
  </si>
  <si>
    <t>12(W|R|G),(15)</t>
  </si>
  <si>
    <t>Prodigal Fighter</t>
  </si>
  <si>
    <t>Use maneuvers as the opp attack.</t>
  </si>
  <si>
    <t>When you would make an opportunity attack you may activate a maneuver instead. You still pay the initiative costs of the opportunity attack as well as all initiative costs of the maneuver</t>
  </si>
  <si>
    <t>12W,12U,(30)</t>
  </si>
  <si>
    <t>Quickfire Storm</t>
  </si>
  <si>
    <t>Whenever you cast a spell that normally deals no damage, you may chuck a firebolt at an opponent</t>
  </si>
  <si>
    <t>After you resolve a spellcast that was not an INST or DIRECT combat spell, you may fire a DV = 3+ (CAST STAT) ranged single target lightning bolt</t>
  </si>
  <si>
    <t>7U,7R,(18)</t>
  </si>
  <si>
    <t>Reach Stance</t>
  </si>
  <si>
    <t>Increases reach</t>
  </si>
  <si>
    <t>Adds (RANK) Reach</t>
  </si>
  <si>
    <t>Rooted Bulwark</t>
  </si>
  <si>
    <t>While in this stance, you resist all attempts to be moved against your will.  Additionally, at the end of your turns, vines grow from the ground attempting to root all adjacent enemies in place.  If continuously rooted, enemies will become entangled and eventually engulfed in vines and plants.  This stance is ended if the roots are hacked away and is usable the next day or when your nature is regenerated (lol idk what I'm thinking honestly, feel free to rationalize this a lot)</t>
  </si>
  <si>
    <t>Gain +4 dice to resist all attempts to be moved against your will. 
At the end of the round vines grow out from your body attempting to root all adjacent enemes in place 
weapon skill or spellcasting 
eDV = STR + 4
Dodge/parry/grapple
Phys Soak
1: 1 stage
5: 2 stages
9+: 3 stages
Stages
1: rooted
2: entangled
3: engulfed
The vines can be hacked away (BOD+8 health, BOD*2 barrier rating, vines resist treated as dodge 0). The vines can be broken with a Complex Action Strongman greater than BOD/2.</t>
  </si>
  <si>
    <t xml:space="preserve">6G,(12)
</t>
  </si>
  <si>
    <t>Surging Strikes</t>
  </si>
  <si>
    <t>Once per turn when you successfully hit with an attack and deal damage, cast a spell</t>
  </si>
  <si>
    <t>Once per turn when you successfully hit with an attack and deal damage you may cast a spell that has a casting time of no longer than a full action. Casting the spell is done as a nonaction immediately after resolving the triggering attack.</t>
  </si>
  <si>
    <t>12R,12G,(30)</t>
  </si>
  <si>
    <t>The Blood Tells</t>
  </si>
  <si>
    <t>Hear and feel all heartbeats within an extended range.  The range increases with blood for the blood god and lust for the lust throne.  Additionally, gain a bonus on active bluff detection against characters with a heartrate.</t>
  </si>
  <si>
    <t>All heartbeats within (CHA*5 ft) can be heard (DC 2 base). Gain +4 dice on judge intentions rolls against targets that you are aware of, who have a heartbeat.</t>
  </si>
  <si>
    <t>12B</t>
  </si>
  <si>
    <t>Thicket of Blades</t>
  </si>
  <si>
    <t>AoO stance DEPRECATED</t>
  </si>
  <si>
    <t>Attacks of opportunity cost (2/1). DEPRECATED</t>
  </si>
  <si>
    <t>20,
80</t>
  </si>
  <si>
    <t>12W,(15)
24W,(30)</t>
  </si>
  <si>
    <t>Threatening Archer</t>
  </si>
  <si>
    <t>Opponents that move within (Y) of you provoke</t>
  </si>
  <si>
    <t xml:space="preserve">Treat all squares within (AGI/2)*5 as threatened by your ranged weapon for purposes of opportunity attacks.
</t>
  </si>
  <si>
    <t>16(W|G),(21)</t>
  </si>
  <si>
    <t>Unyielding Stance</t>
  </si>
  <si>
    <t xml:space="preserve">Ignore wound penalties, falling unconscious as long as you hold your ground, or for one day, WHICHE ER COMES FIRST. If at any point your overflow is filled during this time, you die when this benefit ends. </t>
  </si>
  <si>
    <t xml:space="preserve">Ignore wound penalties, falling unconscious as long as you hold your ground, or for one day, WHICHEVER COMES FIRST. If at any point your overflow is filled during this time, you die when this benefit ends. </t>
  </si>
  <si>
    <t>12(W/B)</t>
  </si>
  <si>
    <t>Vengeful Bulwark</t>
  </si>
  <si>
    <t>Bonus vs. targets you block</t>
  </si>
  <si>
    <t>Gain your shield bonus to your dice pool on your attack against a target you have successfully blocked in the past round. You may spend (5) to make an attack against a target you have succesfully blocked, this attack is made with your shield. (reach 0, buckler = 2 dv, med shield = 6 dv, heavy shield = 8dv, tower shield = 12dv)</t>
  </si>
  <si>
    <t>Willow stance</t>
  </si>
  <si>
    <t xml:space="preserve">Get +4 on defense after a turn in which you do not attack. If you did not attack last turn you have +4 on your next attack.
 If you do nothing during your turn you do not lose initiative. </t>
  </si>
  <si>
    <t xml:space="preserve">If you have not attacked since your last turn you have +4 dice on your next attack. If you attack with bonus dice from this ability you get +4 dice on your next defense.You can pass your turn once per round at zero initiative loss.
</t>
  </si>
  <si>
    <t>Template</t>
  </si>
  <si>
    <t>Undead</t>
  </si>
  <si>
    <t>Become undead, with benefits and drawbacks. Multiple options. Vampire, (necropolitan), mummy, skeleton, death knight?</t>
  </si>
  <si>
    <t xml:space="preserve">You permanently become undead, gaining benefits and drawbacks according to the specific type selected.
General:
An undead's BOD does not contribute to its overflow track. Thus by default an undead dies when its physical wounds equal or exceed its health.
Undead are immune to poisons, diseases, life drain effects, effects that depend upon physical pain/pleasure/discomfort, and most death effects.
</t>
  </si>
  <si>
    <t>Shifting Form</t>
  </si>
  <si>
    <t>Change to a new adaptation each time you roll initiative.</t>
  </si>
  <si>
    <t>Body Buff.
Each time you roll initiative roll a 1d6 and gain the following benefit until the end of the round.
1: Movement speed increased by 50%
2: gain 2 reach
3: 2 temp hp
4: 
5: 
6: 
Rank 2: you may roll 1d6 as a Extra action and choose to replace your current buff with the rolled buff.
Rank 3: you roll twice for buffs and can sustain two buffs.</t>
  </si>
  <si>
    <t>3U, 3G, (9) per</t>
  </si>
  <si>
    <t>Spare a hand?</t>
  </si>
  <si>
    <t>Grow extra limbs!</t>
  </si>
  <si>
    <t>Grow 2 extra limbs</t>
  </si>
  <si>
    <t>Deft Strike</t>
  </si>
  <si>
    <t>With only a half action remaining, make an attack with a light weapon</t>
  </si>
  <si>
    <t>half action. You must have already used one of your half actions this round. Make an attack with a light weapon.</t>
  </si>
  <si>
    <t>Detaining Strike</t>
  </si>
  <si>
    <t>Attack inflicts dice penalty on enemy's attacks for the rest of the round</t>
  </si>
  <si>
    <t>Make a melee attack at +4 eDV. This attack is resisted by Dodge,block,parry/mental. This attack does no damage. Inflict the unsoaked eDV as a penalty on the enemy's attacks until the end of the round.</t>
  </si>
  <si>
    <t>Ethereal  Slip</t>
  </si>
  <si>
    <t>As spacial slip but turn invisible instead of teleport</t>
  </si>
  <si>
    <t>Last Word</t>
  </si>
  <si>
    <t>spend init to prevent enemies from reacting to your nonaction</t>
  </si>
  <si>
    <t>(5) as part of a nonaction ability. No abilities can trigger in response to the activation or resolution of the empowered ability.</t>
  </si>
  <si>
    <t>Linguistics</t>
  </si>
  <si>
    <t>After some time, puzzle out any written language</t>
  </si>
  <si>
    <t>5(U|B),(21)</t>
  </si>
  <si>
    <t>One with the scene</t>
  </si>
  <si>
    <t>You may disguise yourself as inanmiate objects</t>
  </si>
  <si>
    <t>You may attempt a disguise check to appear as an object of roughly your size at no penalty to the check. This check is performed in one round. Targets observing you when you begin this check automatically see through the disguise.</t>
  </si>
  <si>
    <t>Return to Sender</t>
  </si>
  <si>
    <t>Force an effect back onto enemy when you save</t>
  </si>
  <si>
    <t>(5) when you fully soak an attack or ability that carries a status effect rider. The originating creature must soak against the effect as if it had been the original target.</t>
  </si>
  <si>
    <t>Bomb making</t>
  </si>
  <si>
    <t>Create rudimentary explosive devices for battle</t>
  </si>
  <si>
    <t>2R</t>
  </si>
  <si>
    <t>Friend of the Less Fortunate</t>
  </si>
  <si>
    <t>Something about you, and your background, lets you get along well with the less fortunate.</t>
  </si>
  <si>
    <t>Keen Eyed Tracker</t>
  </si>
  <si>
    <t>Bonus on tracking, negate penalties by using multiple methods to discern concealed tracks</t>
  </si>
  <si>
    <t>4(W/G)</t>
  </si>
  <si>
    <t>Man of K'Hull Duade</t>
  </si>
  <si>
    <t>Ignore impediments and later barriers when you charge</t>
  </si>
  <si>
    <t xml:space="preserve">Ignore most difficult terrain when charging
_______________
Ignore all difficult terrain when charging
_______________
Can make a check when charging to run through barriers or displace creatures
_______________
Check made to bypass barriers and displace creatures is at a bonus
</t>
  </si>
  <si>
    <t>5/10/15/20</t>
  </si>
  <si>
    <t>Peerless Tracker</t>
  </si>
  <si>
    <t>Track all manner of things, even magical auras</t>
  </si>
  <si>
    <t>Regional Adaptation</t>
  </si>
  <si>
    <t>Pick a region/climate, bonuses for enduring things typical to the area. Knowledge about area, etc</t>
  </si>
  <si>
    <t>2</t>
  </si>
  <si>
    <t>2G</t>
  </si>
  <si>
    <t>Speed Read</t>
  </si>
  <si>
    <t>You can read at astonishing speed</t>
  </si>
  <si>
    <t xml:space="preserve">You can read a full page of text in six seconds getting a general idea of its contents. </t>
  </si>
  <si>
    <t>Stifle</t>
  </si>
  <si>
    <t>You can now counterspell maneuvers and other activated abilities</t>
  </si>
  <si>
    <t xml:space="preserve">You can now use counterspell to negate activated abilities and maneuvers. If the given ability does not generate an opposed check normally then the activating creature defends with </t>
  </si>
  <si>
    <t>Unbalancing</t>
  </si>
  <si>
    <t>Gain (bonus) against enemies you have recently dodged</t>
  </si>
  <si>
    <t>Superior ground against enemies you dodged since the end of the last round.</t>
  </si>
  <si>
    <t>Unyielding Focus</t>
  </si>
  <si>
    <t>Can't be counterspelled, can't be foiled</t>
  </si>
  <si>
    <t xml:space="preserve">Your abilities cannot be countered or interrupted. </t>
  </si>
  <si>
    <t>Control Weather</t>
  </si>
  <si>
    <t>Control local weather</t>
  </si>
  <si>
    <t>6U6(G/R)</t>
  </si>
  <si>
    <t>Alarm</t>
  </si>
  <si>
    <t>Sets a ward upon an area that, if it detects things that meet specified conditions, sets off an alarm.</t>
  </si>
  <si>
    <t>WU</t>
  </si>
  <si>
    <t>Animate Object</t>
  </si>
  <si>
    <t>Animate an object with varying degrees of control</t>
  </si>
  <si>
    <t>6(W/U)</t>
  </si>
  <si>
    <t>Antipathy</t>
  </si>
  <si>
    <t>Repell types of creatures from an area</t>
  </si>
  <si>
    <t>RITUAL</t>
  </si>
  <si>
    <t>14W</t>
  </si>
  <si>
    <t>Chaosmorph</t>
  </si>
  <si>
    <t>The target is turned into a dimminutive animal or a giant beast, as polymorph, or dino/bear/rhino (5/5)</t>
  </si>
  <si>
    <t xml:space="preserve">INST SUST TRGT
F/2+1, F=BOD+SIZEMOD
On success vs. 2x targets BOD the victim is changed. Flip a coin.
Heads: (1/1)
Tails: (5/5)
</t>
  </si>
  <si>
    <t>Detention</t>
  </si>
  <si>
    <t xml:space="preserve">Choose Spells or maneuvers, target can't use the chosen on its next turn.
</t>
  </si>
  <si>
    <t>INST TRGT
F/2+2
Target opposes with MENTAL
Need F+net hits &gt; target's WIL *2
Casting this spell is a half action
On success choose Maneuvers or Spells. The target cannot use the selected type of ability on its next turn.</t>
  </si>
  <si>
    <t>Earthshape</t>
  </si>
  <si>
    <t>Move/reshape the earth</t>
  </si>
  <si>
    <t>F/2 + 3
Shift up to 200kg of earth per net hit, forming it with minimal control over finer details.</t>
  </si>
  <si>
    <t>Embiggen</t>
  </si>
  <si>
    <t>Increase size of target ally</t>
  </si>
  <si>
    <t>SUST, TRGT(SELF)
F/2+5
F1: +1 size
F5: +2 size
F9: +3 size</t>
  </si>
  <si>
    <t>Explosive Runes</t>
  </si>
  <si>
    <t>Create an explosive magical trap that triggers upon being read</t>
  </si>
  <si>
    <t>Fire Conjuring</t>
  </si>
  <si>
    <t>Create, manipulate fire</t>
  </si>
  <si>
    <t>Mirror Image</t>
  </si>
  <si>
    <t xml:space="preserve">Create multiple illusiory duplicates </t>
  </si>
  <si>
    <t>SUST</t>
  </si>
  <si>
    <t>Resist Energy</t>
  </si>
  <si>
    <t>Create ward that absorbs energy damage of a type specified at casting</t>
  </si>
  <si>
    <t>Seeping Deluge</t>
  </si>
  <si>
    <t>A flash flood hits the area. Water swells, swallowing up the ground.  Creatures must seek saftey among trees, boulders, or rooves.  The deluge may take hours or days to pass depending on how flat the surrounding region is.</t>
  </si>
  <si>
    <t>6U</t>
  </si>
  <si>
    <t>Sleetstorm</t>
  </si>
  <si>
    <t>Blinding freezing sleet pelts down from the skys. A sleetstorm begins.  If it is summertime, a hailstorm may appear instead.  Hailstorms hurt and break things but dont do anything else.  Sleetstorms make the ground icy and extingquish campfires, torches, etc as well as reducing vision down to 10ft.  Sleetstorms rarely last more than a day, but in harsh winters can remain for a week.</t>
  </si>
  <si>
    <t>6(U/R)</t>
  </si>
  <si>
    <t>Tornado</t>
  </si>
  <si>
    <t>The wind whips up, injuring flying creatures and blowing stuff over.  A windstorm picks up in the region blowing sails, grounding flyers, and overall making a ruccus of anything not tied down.  Lasts as long as it takes a high pressure system to dissapate</t>
  </si>
  <si>
    <t>6(U/G)</t>
  </si>
  <si>
    <t>Avatar of Destruction</t>
  </si>
  <si>
    <t>Size control</t>
  </si>
  <si>
    <t xml:space="preserve">shrink / grow </t>
  </si>
  <si>
    <t>Debuff</t>
  </si>
  <si>
    <t>Mark target, easily track target, bonuses against marked target</t>
  </si>
  <si>
    <t>Body Diving</t>
  </si>
  <si>
    <t>meld into flesh</t>
  </si>
  <si>
    <t>Crunching Bullrush</t>
  </si>
  <si>
    <t>Deal damage when bullrushing something into an obstacle</t>
  </si>
  <si>
    <t>2(G/R/B)</t>
  </si>
  <si>
    <t>Devour</t>
  </si>
  <si>
    <t>Swallow whole enemies much smaller than you</t>
  </si>
  <si>
    <t>BG</t>
  </si>
  <si>
    <t>Fatespin</t>
  </si>
  <si>
    <t>Force an enemy to choose what they will do on their next turn, this locks them into those actions.</t>
  </si>
  <si>
    <t>8B</t>
  </si>
  <si>
    <t>Find the Gap</t>
  </si>
  <si>
    <t>Bypass armor in a moment of opportunity</t>
  </si>
  <si>
    <t>2W</t>
  </si>
  <si>
    <t>Invoke Paragon</t>
  </si>
  <si>
    <t>spend luck (or whatever) immediate action gain temporary immunity from death effects.</t>
  </si>
  <si>
    <t>8W</t>
  </si>
  <si>
    <t>Puff of Smoke</t>
  </si>
  <si>
    <t>Flash powder, smoke bomb, or a magical breath; whatever the source of the distraction, the user has dissapeared</t>
  </si>
  <si>
    <t>As a half action, or for (5) as part of movement, you may toss the flask to generate a 10' cube of smoke that lasts until the start of your next turn. The smoke applies a -2 vision penalty to see into or through it. (scale cooldown with investment or go with daily charges?)</t>
  </si>
  <si>
    <t>Something</t>
  </si>
  <si>
    <t>debuff on hit - cannot take bonus actions (or op atks?)</t>
  </si>
  <si>
    <t>Spellcatching/Spelltheft</t>
  </si>
  <si>
    <t>Steal and hold spell effect to reuse later</t>
  </si>
  <si>
    <t>4U</t>
  </si>
  <si>
    <t>Touch of Purity</t>
  </si>
  <si>
    <t>Purge various effects from ally</t>
  </si>
  <si>
    <t>4W</t>
  </si>
  <si>
    <t>Volatilize</t>
  </si>
  <si>
    <t>double dice, 1s count as -1s, if 1/4 are 1s auto fail</t>
  </si>
  <si>
    <t>UR</t>
  </si>
  <si>
    <t>Wild Ricochet</t>
  </si>
  <si>
    <t>Cast a copy of a spell being cast and redirect the targets of the spell being cast</t>
  </si>
  <si>
    <t>(15)
Copy single target spell as it's being cast, use the original target as the point of origin for this new spell.
Also roll spellcasting vs. original spell, If you beat the spell's roll, choose a new target for it using the original target as the point of origin.</t>
  </si>
  <si>
    <t>12R,(24)</t>
  </si>
  <si>
    <t>Animal companion / familiar</t>
  </si>
  <si>
    <t>Various levels / access / options</t>
  </si>
  <si>
    <t>2(G/U)</t>
  </si>
  <si>
    <t>Covert Poisoning</t>
  </si>
  <si>
    <t>Much easier to poison unsuspecting targets</t>
  </si>
  <si>
    <t>B / G</t>
  </si>
  <si>
    <t>Find the weakspot</t>
  </si>
  <si>
    <t>Various bonuses granted to combat for identifying fighting styles, armor, weapons</t>
  </si>
  <si>
    <t>4(W/U)</t>
  </si>
  <si>
    <t>Think You're Scary?</t>
  </si>
  <si>
    <t>Resist fear, retalliate against failed fear effects.</t>
  </si>
  <si>
    <t>Act as if your fear state was 1 lower. Your max fear state is increased by 1. You passively roll active mental against all fear effects. After succeeding on a mental res vs. a fear effect you may spend (5) as an interrupt to attempt intimidation vs. the source of the triggering fear.</t>
  </si>
  <si>
    <t>Titan Toppler</t>
  </si>
  <si>
    <t>Climb enemies much larger than you, benefits, tactics</t>
  </si>
  <si>
    <t>2(R/W)</t>
  </si>
  <si>
    <t>Use Magic Device</t>
  </si>
  <si>
    <t>ignore racial, class, level restrictions on using a magic item</t>
  </si>
  <si>
    <t>Wise Guesser</t>
  </si>
  <si>
    <t>When confronted with a pressing choice, be more likely to choose correctly at random.</t>
  </si>
  <si>
    <t>Whenever deciding between choices at random in a moment of importance (an idle bit of gambling during downtime is hardly important, but if the same game won a handful of scorpions or the key to freedom it's important!) you are 50% more likely to pick the correct choice. Thus picking between two doors would have a 75% of choosing the correct one for pursuing the thief. Or guessing which leg of the chair is shortest is 37.5% (25%*1.5). The GM resolves such rolls secretly and informs the player of what their guessing aptitude hints at.</t>
  </si>
  <si>
    <t>Ride the lightning</t>
  </si>
  <si>
    <t>Teleport by lightning bolt, dependent on clouds</t>
  </si>
  <si>
    <t>WR</t>
  </si>
  <si>
    <t>Scrying</t>
  </si>
  <si>
    <t>View location, individual or objects remotely from great distance</t>
  </si>
  <si>
    <t>12U</t>
  </si>
  <si>
    <t>Sentinel Ward</t>
  </si>
  <si>
    <t>ward an area against intruders, alerting you if tresspass occurs.</t>
  </si>
  <si>
    <t>ward an area against intruders. A (spirit/elemental/etc) observes the area for creatures entering that match your supplied description and can issue verbal warnings and send you and up to N others a mental alarm (max distance?)
upgraded: observer can manifest a guardian to attack trespassers</t>
  </si>
  <si>
    <t>Elemental Trap</t>
  </si>
  <si>
    <t>Create elemental attack that can be triggered after an arming time</t>
  </si>
  <si>
    <t>Fly</t>
  </si>
  <si>
    <t>Causes subject(s) to fly, successes influence speed/maneuverability of flight</t>
  </si>
  <si>
    <t>Phase Lock</t>
  </si>
  <si>
    <t>Target is bound to this dimension, cannot teleport or phase.</t>
  </si>
  <si>
    <t>W?</t>
  </si>
  <si>
    <t>Phase Lock Field</t>
  </si>
  <si>
    <t>Region is warded against teleportation and extradimensional access.</t>
  </si>
  <si>
    <t>Thoughtsway</t>
  </si>
  <si>
    <t>mind affecting to determine target's next attack</t>
  </si>
  <si>
    <t>Tongues</t>
  </si>
  <si>
    <t>SUST Comprehend all spoken languages</t>
  </si>
  <si>
    <t>WUBRG</t>
  </si>
  <si>
    <t>Transmorgriphy Snake</t>
  </si>
  <si>
    <t>Turn linked chain or rope into a snake.  Can be used to release shackles or rope bonds.  Snake can be venomous if (G).</t>
  </si>
  <si>
    <t>BUG</t>
  </si>
  <si>
    <t>Stifling Presence</t>
  </si>
  <si>
    <t>silence?</t>
  </si>
  <si>
    <t>Fusion</t>
  </si>
  <si>
    <t>Temporarily merge with target willing ally, forming a fusion of stats and abilities.</t>
  </si>
  <si>
    <t>Overdrive</t>
  </si>
  <si>
    <t>costs drain to trigger, various general combat bonuses</t>
  </si>
  <si>
    <t>Primeval Embodiment</t>
  </si>
  <si>
    <t>20G</t>
  </si>
  <si>
    <t>Unchained Instinct</t>
  </si>
  <si>
    <t>20R</t>
  </si>
  <si>
    <t>Craft</t>
  </si>
  <si>
    <t>Advanced alchemical creation</t>
  </si>
  <si>
    <t xml:space="preserve">Create smoke bombs, flashers, </t>
  </si>
  <si>
    <t>Meld into stone</t>
  </si>
  <si>
    <t>Shield Slam</t>
  </si>
  <si>
    <t>Generate shockwave with shield</t>
  </si>
  <si>
    <t>Turn X (undead, etc)</t>
  </si>
  <si>
    <t>Repel abhorrent entities of a specific type, varporize weaker entities</t>
  </si>
  <si>
    <t>Volley</t>
  </si>
  <si>
    <t>Fire multiple projectiles as one attack</t>
  </si>
  <si>
    <t>Implement Focus</t>
  </si>
  <si>
    <t>You cannot cast without your implement. Choose an implement, gain minor benefits from it</t>
  </si>
  <si>
    <t>Enduring Fortitude</t>
  </si>
  <si>
    <t>Temp HP decays slower</t>
  </si>
  <si>
    <t>Guild Membership</t>
  </si>
  <si>
    <t>(codified tiered access to guild benefit stuff)</t>
  </si>
  <si>
    <t>Pactmarked</t>
  </si>
  <si>
    <t>You have a pact with a powerful entity that grants boons and drawbacks</t>
  </si>
  <si>
    <t>Rite of Eternal Return</t>
  </si>
  <si>
    <t>So long as your remains are treated to the proper preparation and one hour ritual, and you've been dead less than a day, you rise in perfect condition next sunrise/sunset/noon/midnight. Upon rising your luk pool becomes 0.</t>
  </si>
  <si>
    <t>Sense Heretic</t>
  </si>
  <si>
    <t>Detect heresy as appropriate for your viewpoint</t>
  </si>
  <si>
    <t>Souleater</t>
  </si>
  <si>
    <t>Unarmed Master</t>
  </si>
  <si>
    <t>Improve unarmed attacks</t>
  </si>
  <si>
    <t>Can pay init for other allies’ actions</t>
  </si>
  <si>
    <t>Gain bonus vs. wounded enemies</t>
  </si>
  <si>
    <t>BR</t>
  </si>
  <si>
    <t>Skill</t>
  </si>
  <si>
    <t>Artillery Usage</t>
  </si>
  <si>
    <t>Crew, understand, use ballista, cannon, boardplank</t>
  </si>
  <si>
    <t>Astral Readings</t>
  </si>
  <si>
    <t>star reading, navigation, cardinal direction, weather events</t>
  </si>
  <si>
    <t>Fencing and Smuggling</t>
  </si>
  <si>
    <t>Abiliity to disguise goods and convince buyers that said goods are not stolen</t>
  </si>
  <si>
    <t>Geometric interpolation</t>
  </si>
  <si>
    <t>Feel the tectonics in the earth, shape and bend them to your will</t>
  </si>
  <si>
    <t>Predict Storm</t>
  </si>
  <si>
    <t>With some % of accuracy, predict storms (hurricane, sandstorm, and more)</t>
  </si>
  <si>
    <t>Shot and Blade</t>
  </si>
  <si>
    <t>Duel wield, firing a one handed ranged weapon and a one handed sword. May have different targets, no penalties or provokes from shooting ranged</t>
  </si>
  <si>
    <t>Animate Dead</t>
  </si>
  <si>
    <t>Cloud of Knives</t>
  </si>
  <si>
    <t>Conjure a variable amount of knives that you can fire off individually as an attack</t>
  </si>
  <si>
    <t>Meteor</t>
  </si>
  <si>
    <t>Scrying Ward</t>
  </si>
  <si>
    <t>Inner Focus</t>
  </si>
  <si>
    <t>Holding focus mechanics, bonuses while holding focus, can be shaken out of focus, increasingly hard to sustain focus</t>
  </si>
  <si>
    <t>Control Plants</t>
  </si>
  <si>
    <t>Command or Rebuke plant creatures
-your WIL vs. ??</t>
  </si>
  <si>
    <t>As description.  Alternatively, some sort of plant affinity, plant growing, and other naturey things</t>
  </si>
  <si>
    <t>Quake</t>
  </si>
  <si>
    <t>Knock prone, damage vs. those on ground</t>
  </si>
  <si>
    <t>Conjure personal steed</t>
  </si>
  <si>
    <t>Grace Under Pressure</t>
  </si>
  <si>
    <t>Bone Storm</t>
  </si>
  <si>
    <t>Unbalancing Blow</t>
  </si>
  <si>
    <t>Duress</t>
  </si>
  <si>
    <t>Familiar</t>
  </si>
  <si>
    <t>Pain Begets Clarity</t>
  </si>
  <si>
    <t>Party Animal</t>
  </si>
  <si>
    <t>Quick healer // regeneration</t>
  </si>
  <si>
    <t>Allies gain bonus when you are damaged</t>
  </si>
  <si>
    <t>Imbue Region</t>
  </si>
  <si>
    <t>Imprison</t>
  </si>
  <si>
    <t>Adapt Body</t>
  </si>
  <si>
    <t>Blind</t>
  </si>
  <si>
    <t>Charm</t>
  </si>
  <si>
    <t>Conjure Weapon</t>
  </si>
  <si>
    <t>Constricting Field</t>
  </si>
  <si>
    <t>Creation, Permanent</t>
  </si>
  <si>
    <t>Creation, Temporary</t>
  </si>
  <si>
    <t>Discern Alignment</t>
  </si>
  <si>
    <t>Earthquake</t>
  </si>
  <si>
    <t>Know Nemesis</t>
  </si>
  <si>
    <t>Magic Jar</t>
  </si>
  <si>
    <t>Poison Burst</t>
  </si>
  <si>
    <t>Poison Cloud</t>
  </si>
  <si>
    <t>Share Pain</t>
  </si>
  <si>
    <t>X Wall</t>
  </si>
  <si>
    <t>Zone of Truth</t>
  </si>
  <si>
    <t xml:space="preserve">Sneaky </t>
  </si>
  <si>
    <t>Ignore half target's armor if they don't actively defend</t>
  </si>
  <si>
    <t>Gain bonuses per X wound boxes</t>
  </si>
  <si>
    <t>RB</t>
  </si>
  <si>
    <t>HERITAGE TRAITS</t>
  </si>
  <si>
    <t>Finish Him</t>
  </si>
  <si>
    <t>Deal extra damage to heavily wounded targets</t>
  </si>
  <si>
    <t>(5) Make an attack against a target at or below 1/3 health/stam. Apply HITS to damage rather than NET HITS. As an extra action you may attempt a DC 2 insight check to discern which currently discernible creatures are valid targets for this ability.</t>
  </si>
  <si>
    <t>5B,(21)</t>
  </si>
  <si>
    <t>Interception Stance</t>
  </si>
  <si>
    <t>Enemies provoke from a wider range</t>
  </si>
  <si>
    <t>Add half your movement to your reach for determining which creatures you threaten.
If a creature you threaten because of this ability provokes an Opportunity Attack from you, you may spend (5)/(1)/(0) to move to the nearest position your reach would allow you to strike the creature from. This cost is separate from the cost of making the Opportunity Attack.</t>
  </si>
  <si>
    <t>3W,(12)
4W,(18)
6W,(24)</t>
  </si>
  <si>
    <t>Break Resolve</t>
  </si>
  <si>
    <t>Attempt to negate an incoming attack with fear</t>
  </si>
  <si>
    <t>(5) When you are the only target of an enemy's action. Make an Intimidation attempt against the enemy. If this puts the enemy to 3 or more fear stacks negate the enemy's action.</t>
  </si>
  <si>
    <t>??,(27)</t>
  </si>
  <si>
    <t>Stoneshaping</t>
  </si>
  <si>
    <t>Echo Strike</t>
  </si>
  <si>
    <t>Maneuver: Echo Strike: on miss, create a phantom weapon in the target’s square. At the end of your next turn this phantom weapon attacks any creature that occupies its space, then disappears</t>
  </si>
  <si>
    <t>Gain Control of a Spell</t>
  </si>
  <si>
    <t>Change the target of a spell</t>
  </si>
  <si>
    <t>Spend (5) after counterspelling to steal the spell.  The original caster still rolls drain, but your spellcasting roll is used instead. You gain total control over the stolen spell. You cannot change any chosen modes (i.e. all metamagics and choices of those metamagics) except for targets.  You may reselect all targets, including target creatures or target squares. You may steal a SUST spell, sustaining it yourself, and in the case of target self, having the benefits apply to yourself. Any copies the spell creates are yours to fully control. You pay any costs for and have complete control of any additional spells or abilities generated from the stolen spell.\</t>
  </si>
  <si>
    <t>BG Capstone</t>
  </si>
  <si>
    <t>can spend stamina for maneuver initiative costs</t>
  </si>
  <si>
    <t>You may spend 3 stamina per (5) initiative an ability costs to activate</t>
  </si>
  <si>
    <t>12B,12G,(30)</t>
  </si>
  <si>
    <t>Warcaster</t>
  </si>
  <si>
    <t>You may use touch spells as opportunity attacks</t>
  </si>
  <si>
    <t>You may use touch spells in place of weapon attacks when you make an Opportunity Attack.</t>
  </si>
  <si>
    <t>Mentor's Flourish</t>
  </si>
  <si>
    <t>Boost an Ally's attack against enemy</t>
  </si>
  <si>
    <t>Standard, 1 stamina. 
Make a weapon attack resisted by mental/mental. Do not apply weapon DV to this attack
1: Next ally to attack the target gets advantage on the attack
5: The enemy also must use passive defense against the ally's attack</t>
  </si>
  <si>
    <t>Adaptive Armor</t>
  </si>
  <si>
    <t>Automatically activate defenses that are struck on passive</t>
  </si>
  <si>
    <t>Whenever you are hit by an attack or an effect targeting a passive defense, activate that defense for the rest of the round.</t>
  </si>
  <si>
    <t>Soulbond Mementos</t>
  </si>
  <si>
    <t>Create mementos that may be expended for various effects</t>
  </si>
  <si>
    <t>Craft up to (CAST STAT) linked mementos. Mementos take 1 minute to craft and cost 1 MANA.
A memento may be expended as follows
- (5): grant an ally an active defense as an interrupt, but only for one attack
- (5): take a hit for an ally, swapping places and suffering the applied DV. No effect if the hit also targets you
- (5): Transfer one temporary negative status effect from an ally to you (like dots, not buffs)</t>
  </si>
  <si>
    <t>BR Debuff Damage</t>
  </si>
  <si>
    <t>Automatically damage enemies you debuff</t>
  </si>
  <si>
    <t>Whenever a debuff gets applied to an enemy as a result of them failing a roll against one of your effects, that enemy loses 2 HP.</t>
  </si>
  <si>
    <t>Rage</t>
  </si>
  <si>
    <t>Gain durability at the cost of active defenses</t>
  </si>
  <si>
    <t>(free action)
Gain 2 damage dampening and ignore wound penalties.
Gain 1 automatic hit on weapon attacks.
you cannot actively dodge block or parry when raging.
When rage ends suffer stamina damage equal to the number of rounds it was active (min 1)
you may activate rage for (5) in response to suffering damage, before the damage has been applied (including on an attack that you actively dodged, blocked or parried)
It is a full action to dismiss rage.</t>
  </si>
  <si>
    <t>Pummel to Dust</t>
  </si>
  <si>
    <t>Gain increasing attack bonuses against same target with this maneuver</t>
  </si>
  <si>
    <t>Make a weapon attack. Add +1DV and +1 die for each previous time you have attacked the current target with this maneuver, up to +5. This bonus resets when you attack a different target with this maneuver, or one minute passes without using this maneuver.</t>
  </si>
  <si>
    <t>Evolving defenses</t>
  </si>
  <si>
    <t>Randomly activate defenses for free</t>
  </si>
  <si>
    <t>At the start of your turn activate a random defense that is not currently active among (dodge, physical, mental). you cannot activate defenses by normal means.</t>
  </si>
  <si>
    <t>Telepathic eavesdropper</t>
  </si>
  <si>
    <t>listen in on telepathic communications</t>
  </si>
  <si>
    <t xml:space="preserve">TR 7 limited, 30 BP
10U(21). You are aware of and can listen in on telepathic communications being conducted within 30ft** (test value). Some specific types of communication may reveal your eavesdropping (your con VS insight); unless otherwise spelled out, a mode of telepathic communication cannot detect this eavesdropping. </t>
  </si>
  <si>
    <t>Compel</t>
  </si>
  <si>
    <t>force creature to take basic action</t>
  </si>
  <si>
    <t>CS+1 eDV
1: target is staggered
5: order target to take a basic half action or movement
9: target is not staggered, two order
Overloads
(2): +1 eDV
(2): +5ft radius</t>
  </si>
  <si>
    <t>4U,(12)</t>
  </si>
  <si>
    <t>Repulsion Blast</t>
  </si>
  <si>
    <t>Push back a creature, possibly knock it prone</t>
  </si>
  <si>
    <t>CS+3 eDV
Push target applied eDV. Upwards displacement counts double.
Other creatures may avoid a pushed victim by dodging original roll with a +6 bonus. Failure to avoid causes them to be pushed along with the colliding victim, splitting all remaining push among the group equally.
Collisions or 5+ applied eDV knock victims prone.
Overloads
(2): +1 eDV
(2): +5ft radius</t>
  </si>
  <si>
    <t>4G,(12)</t>
  </si>
  <si>
    <t>Name</t>
  </si>
  <si>
    <t>BOD</t>
  </si>
  <si>
    <t>AGI</t>
  </si>
  <si>
    <t>REA</t>
  </si>
  <si>
    <t>STR</t>
  </si>
  <si>
    <t>WIL</t>
  </si>
  <si>
    <t>INT</t>
  </si>
  <si>
    <t>LOG</t>
  </si>
  <si>
    <t>CHA</t>
  </si>
  <si>
    <t>Dodge</t>
  </si>
  <si>
    <t>S</t>
  </si>
  <si>
    <t>C</t>
  </si>
  <si>
    <t>L</t>
  </si>
  <si>
    <t>Cost</t>
  </si>
  <si>
    <t>Rank</t>
  </si>
  <si>
    <t>ver 0.53</t>
  </si>
  <si>
    <t>Racials</t>
  </si>
  <si>
    <t>CP</t>
  </si>
  <si>
    <t>RANK</t>
  </si>
  <si>
    <t>Dicepool</t>
  </si>
  <si>
    <t>Current</t>
  </si>
  <si>
    <t>+Max</t>
  </si>
  <si>
    <t>ATHLETICS</t>
  </si>
  <si>
    <t>HP</t>
  </si>
  <si>
    <t>A</t>
  </si>
  <si>
    <t>Strongman</t>
  </si>
  <si>
    <t>STAM</t>
  </si>
  <si>
    <t>Gymnastics</t>
  </si>
  <si>
    <t>DRAIN</t>
  </si>
  <si>
    <t>Marathoner</t>
  </si>
  <si>
    <t>LUK</t>
  </si>
  <si>
    <t>Traversal</t>
  </si>
  <si>
    <t>DV Threshold</t>
  </si>
  <si>
    <t>MISC</t>
  </si>
  <si>
    <t>I</t>
  </si>
  <si>
    <t>SURVIVAL</t>
  </si>
  <si>
    <t>ARMOR SOAK</t>
  </si>
  <si>
    <t>Navigation</t>
  </si>
  <si>
    <t>PHYS SOAK</t>
  </si>
  <si>
    <t>Survival</t>
  </si>
  <si>
    <t>MENTAL SOAK</t>
  </si>
  <si>
    <t>Medicine</t>
  </si>
  <si>
    <t>DRAIN SOAK P</t>
  </si>
  <si>
    <t>CAST STAT</t>
  </si>
  <si>
    <t>Animal Handling</t>
  </si>
  <si>
    <t>Normal Armor</t>
  </si>
  <si>
    <t>Active</t>
  </si>
  <si>
    <t>INFLUENCE</t>
  </si>
  <si>
    <t>TRAD</t>
  </si>
  <si>
    <t>Con</t>
  </si>
  <si>
    <t>Parry</t>
  </si>
  <si>
    <t>-</t>
  </si>
  <si>
    <t>Insight</t>
  </si>
  <si>
    <t>Block</t>
  </si>
  <si>
    <t>Intimidation</t>
  </si>
  <si>
    <t>Physical</t>
  </si>
  <si>
    <t>Negotiation</t>
  </si>
  <si>
    <t>Mental</t>
  </si>
  <si>
    <t>SUBTERFUGE</t>
  </si>
  <si>
    <t>Disguise</t>
  </si>
  <si>
    <t>Melee</t>
  </si>
  <si>
    <t>Know discount</t>
  </si>
  <si>
    <t>Stealth</t>
  </si>
  <si>
    <t>BP Current</t>
  </si>
  <si>
    <t>Legerdemain</t>
  </si>
  <si>
    <t>Weapon</t>
  </si>
  <si>
    <t>Light</t>
  </si>
  <si>
    <t>1H</t>
  </si>
  <si>
    <t>2H</t>
  </si>
  <si>
    <t>BP Budget</t>
  </si>
  <si>
    <t>Thievery</t>
  </si>
  <si>
    <t>Power</t>
  </si>
  <si>
    <t>Spellcasting</t>
  </si>
  <si>
    <t>Reach</t>
  </si>
  <si>
    <t>Perceive Magic</t>
  </si>
  <si>
    <t>DV</t>
  </si>
  <si>
    <t>(weapon skill)</t>
  </si>
  <si>
    <t>Perception</t>
  </si>
  <si>
    <t>Shield</t>
  </si>
  <si>
    <t>None</t>
  </si>
  <si>
    <t>N/A</t>
  </si>
  <si>
    <t>Shield Bonus</t>
  </si>
  <si>
    <t>Perserverence</t>
  </si>
  <si>
    <t>Weapon #</t>
  </si>
  <si>
    <t>Buckler</t>
  </si>
  <si>
    <t>Knowledge</t>
  </si>
  <si>
    <t>X foot reach</t>
  </si>
  <si>
    <t>Medium</t>
  </si>
  <si>
    <t>Heavy</t>
  </si>
  <si>
    <t>Reach Bonus</t>
  </si>
  <si>
    <t>Tower</t>
  </si>
  <si>
    <t>ELEMENT</t>
  </si>
  <si>
    <t>Abilities</t>
  </si>
  <si>
    <t>Affinity</t>
  </si>
  <si>
    <t xml:space="preserve"> </t>
  </si>
  <si>
    <t>Magical Theory</t>
  </si>
  <si>
    <t>To cure being starblinded - flower from the tallest mountain that has seen every sunrise of the year
Sunmage has heard about a valley that has not seen rain, cloudless valley. Infer, giant beast nesting grounds (Kaiju)
Druidess Lands - druidess, was helped over demon and dumb idiot dude. Iobia has crafted a picture good enough for a sovineirg
War Graveyard - Magic Gophers, made fake lord of bones to harrange travelers, shoot fireballs. Fortress westward, skeletons all headless
Ziggurat picture - sickness when traveling, boggy area. Indigenous populations. Big giant forest monsters.
Ancient Undead City-  dust devils, blue chasing green
Icey North - ice worms, yetis, dire wolves
Kaiju Turtle - Gexians are harvesting his bone marrow, ask Ferrofist for ship diagrams, engine room blow ups, maybe he want to help?
Smith murder - coated in molten - Ferrofist - Smith was gexian. What is gexias larger puzzle piece? (gexian outposts could be friendly)
Flying ship - Find someone that can inform us better about using power sources
Jalguez Tablet - Find someone that may know more about duplicating tablet pieces (find a sage/expert at a college devoted to study)
  - when more tablets are near (or meteor) they amplify/lash out, also when stored they build up energy. lash outs turn surrounding stuff tentacle
Shimmering Reach MAY be finite
Merchant Sons - lost merchant fleet carrying fat loot, either blown into Gexia or into the Reach
Meteor Quest - Ice cave, meteor was taken already. 
    Big curved 2 handed sword with shark teeth on the hilt, 
    3 adventurers (one tall one, one with the sword, one using magic)</t>
  </si>
  <si>
    <t>Sketches
Large giant albino finned sea monster, 4 part mouth, dives deep and then rises, using its maw to vortex massive amounts of water consuming the flesh inside
Herald of fire and ash demon skull
Charcoal relief of tablet piece
Souviner picture of Daemon, Northerner, and Druid with the well of souls
Oil painting of Petradonis - rat city, huge towering white walls surrounded by field of demons with a shimmering wall all around
Bracelet of Teeth
Death Mage Tooth
Ash Demon Tooth
Dire Wolf Tooth
Statue of petrified tentacle rat (both the tablet relief made it turn green with some tentacles and dark damage amplified it) then silas petrified it</t>
  </si>
  <si>
    <t>Character Appearance
Captain's hat, large and ink black with gold trim. A weather proof jacket in much the same style. An ash grey dress, flames seem to smolder
as the dress flows, hints of deep reds and oranges.
Her snake body, scaly from the waste down, with spines protruding. A snake-like torso with fish scales instead of skin, blue hued sandy colored on the front and darker on the back
Centering Math
Max Center: 28 Drain Soak (7 hits take 4)
Max Overload: 11</t>
  </si>
  <si>
    <t>Writing</t>
  </si>
  <si>
    <t>Art</t>
  </si>
  <si>
    <t>Astronomy</t>
  </si>
  <si>
    <t>Vial from Genie room
3 alchemical phoenix fire vials
5 reams of mica tablets
Coat of always clean
Lich's Sceptre (powering Iobia's planetarium)
Ring of Illumination (small amount of light)
Shadowy Quill (shadowless cursed)
Cloak of Ele Res (resists last hit element, res 3)
6 bottles of phoenix blood
2 feathers
Water Cube =&gt; absorbs water, keeps objects it touches moist, can launch water (water shield, water bubble)
Backpack of Holding full of someone's bag of holding of loot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</si>
</sst>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font>
    <font>
      <sz val="10"/>
      <name val="Arial"/>
      <family val="2"/>
    </font>
    <font>
      <sz val="7"/>
      <name val="Arial"/>
      <family val="2"/>
    </font>
    <font>
      <b/>
      <sz val="12"/>
      <name val="Arial"/>
      <family val="2"/>
    </font>
    <font>
      <i/>
      <sz val="10"/>
      <name val="Arial"/>
      <family val="2"/>
    </font>
    <font>
      <sz val="10"/>
      <color rgb="FFFF0000"/>
      <name val="Arial"/>
      <family val="2"/>
    </font>
    <font>
      <sz val="10"/>
      <name val="Arial"/>
      <family val="2"/>
    </font>
    <font>
      <sz val="11"/>
      <color rgb="FF1D1C1D"/>
      <name val="Arial"/>
      <family val="2"/>
    </font>
    <font>
      <sz val="11"/>
      <color rgb="FF000000"/>
      <name val="Arial"/>
      <family val="2"/>
    </font>
    <font>
      <sz val="10"/>
      <color rgb="FFFF9900"/>
      <name val="Arial"/>
      <family val="2"/>
    </font>
    <font>
      <sz val="10"/>
      <color rgb="FF000000"/>
      <name val="Arial"/>
      <family val="2"/>
    </font>
    <font>
      <b/>
      <sz val="10"/>
      <name val="Arial"/>
      <family val="2"/>
    </font>
    <font>
      <b/>
      <sz val="11"/>
      <color rgb="FF000000"/>
      <name val="Arial"/>
      <family val="2"/>
    </font>
    <font>
      <b/>
      <sz val="10"/>
      <color rgb="FFFFFFFF"/>
      <name val="Arial"/>
      <family val="2"/>
    </font>
  </fonts>
  <fills count="11">
    <fill>
      <patternFill patternType="none"/>
    </fill>
    <fill>
      <patternFill patternType="gray125"/>
    </fill>
    <fill>
      <patternFill patternType="solid">
        <fgColor rgb="FF000000"/>
        <bgColor rgb="FF000000"/>
      </patternFill>
    </fill>
    <fill>
      <patternFill patternType="solid">
        <fgColor rgb="FF1155CC"/>
        <bgColor rgb="FF1155CC"/>
      </patternFill>
    </fill>
    <fill>
      <patternFill patternType="solid">
        <fgColor rgb="FFFFFFFF"/>
        <bgColor rgb="FFFFFFFF"/>
      </patternFill>
    </fill>
    <fill>
      <patternFill patternType="solid">
        <fgColor rgb="FFFF0000"/>
        <bgColor rgb="FFFF0000"/>
      </patternFill>
    </fill>
    <fill>
      <patternFill patternType="solid">
        <fgColor rgb="FFFCE8B2"/>
        <bgColor rgb="FFFCE8B2"/>
      </patternFill>
    </fill>
    <fill>
      <patternFill patternType="solid">
        <fgColor rgb="FFD0E0E3"/>
        <bgColor rgb="FFD0E0E3"/>
      </patternFill>
    </fill>
    <fill>
      <patternFill patternType="solid">
        <fgColor rgb="FFFFFF00"/>
        <bgColor rgb="FFFFFF00"/>
      </patternFill>
    </fill>
    <fill>
      <patternFill patternType="solid">
        <fgColor rgb="FF4A86E8"/>
        <bgColor rgb="FF4A86E8"/>
      </patternFill>
    </fill>
    <fill>
      <patternFill patternType="solid">
        <fgColor rgb="FF00FF00"/>
        <bgColor rgb="FF00FF00"/>
      </patternFill>
    </fill>
  </fills>
  <borders count="39">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diagonal/>
    </border>
    <border>
      <left/>
      <right style="medium">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double">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bottom/>
      <diagonal/>
    </border>
    <border>
      <left style="medium">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style="medium">
        <color rgb="FF000000"/>
      </top>
      <bottom/>
      <diagonal/>
    </border>
    <border>
      <left style="medium">
        <color rgb="FF000000"/>
      </left>
      <right style="medium">
        <color rgb="FF000000"/>
      </right>
      <top style="double">
        <color rgb="FF000000"/>
      </top>
      <bottom style="double">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style="medium">
        <color rgb="FF000000"/>
      </right>
      <top/>
      <bottom/>
      <diagonal/>
    </border>
    <border>
      <left style="medium">
        <color rgb="FF000000"/>
      </left>
      <right/>
      <top/>
      <bottom/>
      <diagonal/>
    </border>
    <border>
      <left/>
      <right style="medium">
        <color rgb="FF000000"/>
      </right>
      <top style="medium">
        <color rgb="FF000000"/>
      </top>
      <bottom/>
      <diagonal/>
    </border>
    <border>
      <left style="thin">
        <color rgb="FF000000"/>
      </left>
      <right style="thin">
        <color rgb="FF000000"/>
      </right>
      <top style="thin">
        <color rgb="FF000000"/>
      </top>
      <bottom style="medium">
        <color rgb="FF000000"/>
      </bottom>
      <diagonal/>
    </border>
    <border>
      <left/>
      <right/>
      <top style="medium">
        <color rgb="FF000000"/>
      </top>
      <bottom/>
      <diagonal/>
    </border>
    <border>
      <left/>
      <right style="medium">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medium">
        <color rgb="FF000000"/>
      </left>
      <right/>
      <top style="thin">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top/>
      <bottom style="thin">
        <color rgb="FF000000"/>
      </bottom>
      <diagonal/>
    </border>
  </borders>
  <cellStyleXfs count="1">
    <xf numFmtId="0" fontId="0" fillId="0" borderId="0"/>
  </cellStyleXfs>
  <cellXfs count="152">
    <xf numFmtId="0" fontId="0" fillId="0" borderId="0" xfId="0"/>
    <xf numFmtId="0" fontId="1" fillId="0" borderId="0" xfId="0" applyFont="1"/>
    <xf numFmtId="0" fontId="2" fillId="0" borderId="0" xfId="0" applyFont="1" applyAlignment="1">
      <alignment wrapText="1"/>
    </xf>
    <xf numFmtId="49" fontId="2" fillId="0" borderId="0" xfId="0" applyNumberFormat="1" applyFont="1" applyAlignment="1">
      <alignment wrapText="1"/>
    </xf>
    <xf numFmtId="0" fontId="2" fillId="0" borderId="0" xfId="0" applyFont="1"/>
    <xf numFmtId="0" fontId="3" fillId="0" borderId="0" xfId="0" applyFont="1"/>
    <xf numFmtId="0" fontId="1" fillId="2" borderId="0" xfId="0" applyFont="1" applyFill="1"/>
    <xf numFmtId="0" fontId="1" fillId="0" borderId="0" xfId="0" applyFont="1" applyAlignment="1">
      <alignment wrapText="1"/>
    </xf>
    <xf numFmtId="0" fontId="1" fillId="3" borderId="0" xfId="0" applyFont="1" applyFill="1"/>
    <xf numFmtId="49" fontId="1" fillId="0" borderId="0" xfId="0" applyNumberFormat="1" applyFont="1" applyAlignment="1">
      <alignment wrapText="1"/>
    </xf>
    <xf numFmtId="0" fontId="1" fillId="2" borderId="0" xfId="0" applyFont="1" applyFill="1" applyAlignment="1">
      <alignment wrapText="1"/>
    </xf>
    <xf numFmtId="0" fontId="4" fillId="0" borderId="0" xfId="0" applyFont="1" applyAlignment="1">
      <alignment wrapText="1"/>
    </xf>
    <xf numFmtId="0" fontId="5" fillId="0" borderId="0" xfId="0" applyFont="1"/>
    <xf numFmtId="0" fontId="5" fillId="0" borderId="0" xfId="0" applyFont="1" applyAlignment="1">
      <alignment wrapText="1"/>
    </xf>
    <xf numFmtId="49" fontId="5" fillId="0" borderId="0" xfId="0" applyNumberFormat="1" applyFont="1" applyAlignment="1">
      <alignment wrapText="1"/>
    </xf>
    <xf numFmtId="0" fontId="5" fillId="2" borderId="0" xfId="0" applyFont="1" applyFill="1" applyAlignment="1">
      <alignment wrapText="1"/>
    </xf>
    <xf numFmtId="0" fontId="6" fillId="0" borderId="0" xfId="0" applyFont="1" applyAlignment="1">
      <alignment wrapText="1"/>
    </xf>
    <xf numFmtId="0" fontId="7" fillId="4" borderId="0" xfId="0" applyFont="1" applyFill="1" applyAlignment="1">
      <alignment wrapText="1"/>
    </xf>
    <xf numFmtId="49" fontId="6" fillId="0" borderId="0" xfId="0" applyNumberFormat="1" applyFont="1" applyAlignment="1">
      <alignment wrapText="1"/>
    </xf>
    <xf numFmtId="0" fontId="6" fillId="0" borderId="0" xfId="0" applyFont="1"/>
    <xf numFmtId="0" fontId="6" fillId="2" borderId="0" xfId="0" applyFont="1" applyFill="1"/>
    <xf numFmtId="0" fontId="6" fillId="0" borderId="0" xfId="0" applyFont="1" applyAlignment="1">
      <alignment horizontal="right" wrapText="1"/>
    </xf>
    <xf numFmtId="0" fontId="1" fillId="0" borderId="0" xfId="0" quotePrefix="1" applyFont="1" applyAlignment="1">
      <alignment wrapText="1"/>
    </xf>
    <xf numFmtId="0" fontId="8" fillId="0" borderId="0" xfId="0" applyFont="1"/>
    <xf numFmtId="49" fontId="6" fillId="0" borderId="0" xfId="0" applyNumberFormat="1" applyFont="1" applyAlignment="1">
      <alignment horizontal="right" wrapText="1"/>
    </xf>
    <xf numFmtId="0" fontId="1" fillId="0" borderId="0" xfId="0" applyFont="1" applyAlignment="1">
      <alignment horizontal="center" wrapText="1"/>
    </xf>
    <xf numFmtId="0" fontId="9" fillId="0" borderId="0" xfId="0" applyFont="1"/>
    <xf numFmtId="0" fontId="9" fillId="0" borderId="0" xfId="0" applyFont="1" applyAlignment="1">
      <alignment wrapText="1"/>
    </xf>
    <xf numFmtId="49" fontId="9" fillId="0" borderId="0" xfId="0" applyNumberFormat="1" applyFont="1" applyAlignment="1">
      <alignment wrapText="1"/>
    </xf>
    <xf numFmtId="0" fontId="9" fillId="2" borderId="0" xfId="0" applyFont="1" applyFill="1" applyAlignment="1">
      <alignment wrapText="1"/>
    </xf>
    <xf numFmtId="0" fontId="1" fillId="5" borderId="0" xfId="0" applyFont="1" applyFill="1"/>
    <xf numFmtId="49" fontId="1" fillId="0" borderId="0" xfId="0" applyNumberFormat="1" applyFont="1"/>
    <xf numFmtId="0" fontId="1" fillId="0" borderId="0" xfId="0" applyFont="1" applyAlignment="1">
      <alignment horizontal="left" wrapText="1"/>
    </xf>
    <xf numFmtId="0" fontId="6" fillId="6" borderId="0" xfId="0" applyFont="1" applyFill="1"/>
    <xf numFmtId="49" fontId="6" fillId="6" borderId="0" xfId="0" applyNumberFormat="1" applyFont="1" applyFill="1"/>
    <xf numFmtId="0" fontId="10" fillId="4" borderId="0" xfId="0" applyFont="1" applyFill="1" applyAlignment="1">
      <alignment horizontal="left"/>
    </xf>
    <xf numFmtId="0" fontId="8" fillId="0" borderId="0" xfId="0" applyFont="1" applyAlignment="1">
      <alignment horizontal="left"/>
    </xf>
    <xf numFmtId="0" fontId="10" fillId="4" borderId="0" xfId="0" applyFont="1" applyFill="1" applyAlignment="1">
      <alignment horizontal="left" wrapText="1"/>
    </xf>
    <xf numFmtId="0" fontId="1" fillId="0" borderId="1" xfId="0" applyFont="1" applyBorder="1"/>
    <xf numFmtId="0" fontId="11" fillId="0" borderId="0" xfId="0" applyFont="1"/>
    <xf numFmtId="0" fontId="1" fillId="0" borderId="3" xfId="0" applyFont="1" applyBorder="1"/>
    <xf numFmtId="0" fontId="1" fillId="0" borderId="0" xfId="0" applyFont="1" applyAlignment="1">
      <alignment horizontal="center"/>
    </xf>
    <xf numFmtId="0" fontId="12" fillId="0" borderId="0" xfId="0" applyFont="1"/>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xf numFmtId="0" fontId="1" fillId="0" borderId="11" xfId="0" quotePrefix="1" applyFont="1" applyBorder="1"/>
    <xf numFmtId="0" fontId="11" fillId="0" borderId="12" xfId="0" applyFont="1" applyBorder="1" applyAlignment="1">
      <alignment horizontal="center"/>
    </xf>
    <xf numFmtId="0" fontId="11" fillId="7" borderId="13" xfId="0" applyFont="1" applyFill="1" applyBorder="1" applyAlignment="1">
      <alignment horizontal="center"/>
    </xf>
    <xf numFmtId="0" fontId="1" fillId="0" borderId="14" xfId="0" applyFont="1" applyBorder="1"/>
    <xf numFmtId="0" fontId="11" fillId="7" borderId="15" xfId="0" applyFont="1" applyFill="1" applyBorder="1" applyAlignment="1">
      <alignment horizontal="center"/>
    </xf>
    <xf numFmtId="0" fontId="1" fillId="0" borderId="5" xfId="0" applyFont="1" applyBorder="1"/>
    <xf numFmtId="0" fontId="1" fillId="2" borderId="16" xfId="0" applyFont="1" applyFill="1" applyBorder="1"/>
    <xf numFmtId="0" fontId="1" fillId="2" borderId="17" xfId="0" applyFont="1" applyFill="1" applyBorder="1"/>
    <xf numFmtId="0" fontId="11" fillId="0" borderId="6" xfId="0" applyFont="1" applyBorder="1" applyAlignment="1">
      <alignment horizontal="center"/>
    </xf>
    <xf numFmtId="0" fontId="11" fillId="0" borderId="7" xfId="0" applyFont="1" applyBorder="1" applyAlignment="1">
      <alignment horizontal="center"/>
    </xf>
    <xf numFmtId="0" fontId="11" fillId="7" borderId="5" xfId="0" applyFont="1" applyFill="1" applyBorder="1" applyAlignment="1">
      <alignment horizontal="center"/>
    </xf>
    <xf numFmtId="0" fontId="11" fillId="7" borderId="17" xfId="0" applyFont="1" applyFill="1" applyBorder="1" applyAlignment="1">
      <alignment horizontal="center"/>
    </xf>
    <xf numFmtId="0" fontId="11" fillId="0" borderId="15" xfId="0" applyFont="1" applyBorder="1" applyAlignment="1">
      <alignment horizontal="center"/>
    </xf>
    <xf numFmtId="0" fontId="1" fillId="0" borderId="18" xfId="0" applyFont="1" applyBorder="1"/>
    <xf numFmtId="0" fontId="1" fillId="0" borderId="3" xfId="0" applyFont="1" applyBorder="1" applyAlignment="1">
      <alignment horizontal="center"/>
    </xf>
    <xf numFmtId="0" fontId="1" fillId="0" borderId="16" xfId="0" applyFont="1" applyBorder="1" applyAlignment="1">
      <alignment horizontal="center"/>
    </xf>
    <xf numFmtId="0" fontId="1" fillId="0" borderId="17" xfId="0" applyFont="1" applyBorder="1" applyAlignment="1">
      <alignment horizontal="center"/>
    </xf>
    <xf numFmtId="0" fontId="11" fillId="0" borderId="16" xfId="0" applyFont="1" applyBorder="1" applyAlignment="1">
      <alignment horizontal="center"/>
    </xf>
    <xf numFmtId="0" fontId="11" fillId="0" borderId="19" xfId="0" applyFont="1" applyBorder="1" applyAlignment="1">
      <alignment horizontal="center"/>
    </xf>
    <xf numFmtId="0" fontId="11" fillId="0" borderId="2" xfId="0" applyFont="1" applyBorder="1" applyAlignment="1">
      <alignment horizontal="center"/>
    </xf>
    <xf numFmtId="0" fontId="11" fillId="7" borderId="20" xfId="0" applyFont="1" applyFill="1" applyBorder="1" applyAlignment="1">
      <alignment horizontal="center"/>
    </xf>
    <xf numFmtId="0" fontId="11" fillId="0" borderId="21" xfId="0" applyFont="1" applyBorder="1" applyAlignment="1">
      <alignment horizontal="center"/>
    </xf>
    <xf numFmtId="0" fontId="11" fillId="0" borderId="22" xfId="0" applyFont="1" applyBorder="1" applyAlignment="1">
      <alignment horizontal="center"/>
    </xf>
    <xf numFmtId="0" fontId="11" fillId="7" borderId="23" xfId="0" applyFont="1" applyFill="1" applyBorder="1" applyAlignment="1">
      <alignment horizontal="center"/>
    </xf>
    <xf numFmtId="0" fontId="1" fillId="0" borderId="24" xfId="0" applyFont="1" applyBorder="1"/>
    <xf numFmtId="0" fontId="11" fillId="0" borderId="18" xfId="0" applyFont="1" applyBorder="1" applyAlignment="1">
      <alignment horizontal="center"/>
    </xf>
    <xf numFmtId="0" fontId="1" fillId="0" borderId="10" xfId="0" applyFont="1" applyBorder="1" applyAlignment="1">
      <alignment horizontal="center"/>
    </xf>
    <xf numFmtId="0" fontId="1" fillId="0" borderId="25" xfId="0" applyFont="1" applyBorder="1"/>
    <xf numFmtId="0" fontId="1" fillId="2" borderId="16" xfId="0" applyFont="1" applyFill="1" applyBorder="1" applyAlignment="1">
      <alignment horizontal="center"/>
    </xf>
    <xf numFmtId="0" fontId="1" fillId="2" borderId="17" xfId="0" applyFont="1" applyFill="1" applyBorder="1" applyAlignment="1">
      <alignment horizontal="center"/>
    </xf>
    <xf numFmtId="0" fontId="1" fillId="7" borderId="17" xfId="0" applyFont="1" applyFill="1" applyBorder="1" applyAlignment="1">
      <alignment horizontal="center"/>
    </xf>
    <xf numFmtId="0" fontId="1" fillId="0" borderId="26" xfId="0" applyFont="1" applyBorder="1" applyAlignment="1">
      <alignment horizontal="center"/>
    </xf>
    <xf numFmtId="0" fontId="1" fillId="0" borderId="22" xfId="0" applyFont="1" applyBorder="1" applyAlignment="1">
      <alignment horizontal="center"/>
    </xf>
    <xf numFmtId="0" fontId="1" fillId="7" borderId="20" xfId="0" applyFont="1" applyFill="1" applyBorder="1" applyAlignment="1">
      <alignment horizontal="center"/>
    </xf>
    <xf numFmtId="0" fontId="11" fillId="0" borderId="27" xfId="0" applyFont="1" applyBorder="1" applyAlignment="1">
      <alignment horizontal="center"/>
    </xf>
    <xf numFmtId="0" fontId="11" fillId="0" borderId="28" xfId="0" applyFont="1" applyBorder="1"/>
    <xf numFmtId="0" fontId="1" fillId="0" borderId="29" xfId="0" applyFont="1" applyBorder="1" applyAlignment="1">
      <alignment horizontal="center"/>
    </xf>
    <xf numFmtId="0" fontId="1" fillId="0" borderId="30" xfId="0" applyFont="1" applyBorder="1" applyAlignment="1">
      <alignment horizontal="center"/>
    </xf>
    <xf numFmtId="0" fontId="11" fillId="0" borderId="6" xfId="0" applyFont="1" applyBorder="1"/>
    <xf numFmtId="0" fontId="1" fillId="7" borderId="17" xfId="0" applyFont="1" applyFill="1" applyBorder="1"/>
    <xf numFmtId="0" fontId="11" fillId="0" borderId="19" xfId="0" applyFont="1" applyBorder="1"/>
    <xf numFmtId="0" fontId="11" fillId="8" borderId="15" xfId="0" applyFont="1" applyFill="1" applyBorder="1" applyAlignment="1">
      <alignment horizontal="center"/>
    </xf>
    <xf numFmtId="0" fontId="11" fillId="9" borderId="15" xfId="0" applyFont="1" applyFill="1" applyBorder="1" applyAlignment="1">
      <alignment horizontal="center"/>
    </xf>
    <xf numFmtId="0" fontId="13" fillId="2" borderId="15" xfId="0" applyFont="1" applyFill="1" applyBorder="1" applyAlignment="1">
      <alignment horizontal="center"/>
    </xf>
    <xf numFmtId="0" fontId="11" fillId="0" borderId="21" xfId="0" applyFont="1" applyBorder="1"/>
    <xf numFmtId="0" fontId="1" fillId="0" borderId="31" xfId="0" applyFont="1" applyBorder="1" applyAlignment="1">
      <alignment horizontal="center"/>
    </xf>
    <xf numFmtId="0" fontId="1" fillId="7" borderId="20" xfId="0" applyFont="1" applyFill="1" applyBorder="1"/>
    <xf numFmtId="0" fontId="11" fillId="5" borderId="15" xfId="0" applyFont="1" applyFill="1" applyBorder="1" applyAlignment="1">
      <alignment horizontal="center"/>
    </xf>
    <xf numFmtId="0" fontId="11" fillId="0" borderId="0" xfId="0" applyFont="1" applyAlignment="1">
      <alignment horizontal="center"/>
    </xf>
    <xf numFmtId="0" fontId="11" fillId="10" borderId="27" xfId="0" applyFont="1" applyFill="1" applyBorder="1" applyAlignment="1">
      <alignment horizontal="center"/>
    </xf>
    <xf numFmtId="0" fontId="1" fillId="0" borderId="32" xfId="0" applyFont="1" applyBorder="1"/>
    <xf numFmtId="0" fontId="1" fillId="7" borderId="12" xfId="0" applyFont="1" applyFill="1" applyBorder="1" applyAlignment="1">
      <alignment horizontal="center"/>
    </xf>
    <xf numFmtId="0" fontId="1" fillId="7" borderId="8" xfId="0" applyFont="1" applyFill="1" applyBorder="1" applyAlignment="1">
      <alignment horizontal="center"/>
    </xf>
    <xf numFmtId="0" fontId="1" fillId="7" borderId="13" xfId="0" applyFont="1" applyFill="1" applyBorder="1" applyAlignment="1">
      <alignment horizontal="center"/>
    </xf>
    <xf numFmtId="0" fontId="11" fillId="0" borderId="3" xfId="0" applyFont="1" applyBorder="1" applyAlignment="1">
      <alignment horizontal="center"/>
    </xf>
    <xf numFmtId="0" fontId="11" fillId="10" borderId="3" xfId="0" applyFont="1" applyFill="1" applyBorder="1" applyAlignment="1">
      <alignment horizontal="center"/>
    </xf>
    <xf numFmtId="0" fontId="11" fillId="7" borderId="33" xfId="0" applyFont="1" applyFill="1" applyBorder="1" applyAlignment="1">
      <alignment horizontal="center"/>
    </xf>
    <xf numFmtId="0" fontId="1" fillId="0" borderId="5" xfId="0" applyFont="1" applyBorder="1" applyAlignment="1">
      <alignment horizontal="center"/>
    </xf>
    <xf numFmtId="0" fontId="1" fillId="0" borderId="19" xfId="0" applyFont="1" applyBorder="1"/>
    <xf numFmtId="0" fontId="11" fillId="7" borderId="2" xfId="0" applyFont="1" applyFill="1" applyBorder="1" applyAlignment="1">
      <alignment horizontal="center"/>
    </xf>
    <xf numFmtId="0" fontId="11" fillId="7" borderId="4" xfId="0" applyFont="1" applyFill="1" applyBorder="1" applyAlignment="1">
      <alignment horizontal="center"/>
    </xf>
    <xf numFmtId="0" fontId="11" fillId="7" borderId="34" xfId="0" applyFont="1" applyFill="1" applyBorder="1" applyAlignment="1">
      <alignment horizontal="center"/>
    </xf>
    <xf numFmtId="0" fontId="1" fillId="0" borderId="35" xfId="0" applyFont="1" applyBorder="1"/>
    <xf numFmtId="0" fontId="11" fillId="7" borderId="27" xfId="0" applyFont="1" applyFill="1" applyBorder="1" applyAlignment="1">
      <alignment horizontal="center"/>
    </xf>
    <xf numFmtId="0" fontId="1" fillId="0" borderId="23" xfId="0" applyFont="1" applyBorder="1"/>
    <xf numFmtId="0" fontId="1" fillId="0" borderId="36" xfId="0" applyFont="1" applyBorder="1" applyAlignment="1">
      <alignment horizontal="center"/>
    </xf>
    <xf numFmtId="0" fontId="1" fillId="0" borderId="23" xfId="0" applyFont="1" applyBorder="1" applyAlignment="1">
      <alignment horizontal="center"/>
    </xf>
    <xf numFmtId="0" fontId="11" fillId="7" borderId="26" xfId="0" applyFont="1" applyFill="1" applyBorder="1" applyAlignment="1">
      <alignment horizontal="center"/>
    </xf>
    <xf numFmtId="0" fontId="11" fillId="7" borderId="3" xfId="0" applyFont="1" applyFill="1" applyBorder="1" applyAlignment="1">
      <alignment horizontal="center"/>
    </xf>
    <xf numFmtId="0" fontId="11" fillId="7" borderId="37" xfId="0" applyFont="1" applyFill="1" applyBorder="1" applyAlignment="1">
      <alignment horizontal="center"/>
    </xf>
    <xf numFmtId="0" fontId="1" fillId="0" borderId="4" xfId="0" applyFont="1" applyBorder="1" applyAlignment="1">
      <alignment horizontal="center"/>
    </xf>
    <xf numFmtId="0" fontId="1" fillId="0" borderId="38" xfId="0" applyFont="1" applyBorder="1" applyAlignment="1">
      <alignment horizontal="center"/>
    </xf>
    <xf numFmtId="0" fontId="1" fillId="0" borderId="34" xfId="0" applyFont="1" applyBorder="1" applyAlignment="1">
      <alignment horizontal="center"/>
    </xf>
    <xf numFmtId="0" fontId="11" fillId="0" borderId="26" xfId="0" applyFont="1" applyBorder="1" applyAlignment="1">
      <alignment horizontal="center"/>
    </xf>
    <xf numFmtId="0" fontId="11" fillId="0" borderId="17" xfId="0" applyFont="1" applyBorder="1" applyAlignment="1">
      <alignment horizontal="center"/>
    </xf>
    <xf numFmtId="0" fontId="1" fillId="7" borderId="26" xfId="0" applyFont="1" applyFill="1" applyBorder="1" applyAlignment="1">
      <alignment horizontal="center"/>
    </xf>
    <xf numFmtId="0" fontId="1" fillId="7" borderId="3" xfId="0" applyFont="1" applyFill="1" applyBorder="1" applyAlignment="1">
      <alignment horizontal="center"/>
    </xf>
    <xf numFmtId="0" fontId="1" fillId="0" borderId="21" xfId="0" applyFont="1" applyBorder="1"/>
    <xf numFmtId="0" fontId="1" fillId="0" borderId="20" xfId="0" applyFont="1" applyBorder="1" applyAlignment="1">
      <alignment horizontal="center"/>
    </xf>
    <xf numFmtId="0" fontId="1" fillId="2" borderId="36" xfId="0" applyFont="1" applyFill="1" applyBorder="1" applyAlignment="1">
      <alignment horizontal="center"/>
    </xf>
    <xf numFmtId="0" fontId="1" fillId="2" borderId="20" xfId="0" applyFont="1" applyFill="1" applyBorder="1" applyAlignment="1">
      <alignment horizontal="center"/>
    </xf>
    <xf numFmtId="0" fontId="1" fillId="7" borderId="12" xfId="0" applyFont="1" applyFill="1" applyBorder="1"/>
    <xf numFmtId="0" fontId="1" fillId="0" borderId="8" xfId="0" applyFont="1" applyBorder="1"/>
    <xf numFmtId="0" fontId="1" fillId="0" borderId="12" xfId="0" applyFont="1" applyBorder="1"/>
    <xf numFmtId="0" fontId="11" fillId="0" borderId="13" xfId="0" applyFont="1" applyBorder="1" applyAlignment="1">
      <alignment horizontal="center"/>
    </xf>
    <xf numFmtId="0" fontId="11" fillId="0" borderId="10" xfId="0" applyFont="1" applyBorder="1" applyAlignment="1">
      <alignment horizontal="center"/>
    </xf>
    <xf numFmtId="0" fontId="1" fillId="7" borderId="15" xfId="0" applyFont="1" applyFill="1" applyBorder="1"/>
    <xf numFmtId="0" fontId="1" fillId="7" borderId="15" xfId="0" applyFont="1" applyFill="1" applyBorder="1" applyAlignment="1">
      <alignment horizontal="center"/>
    </xf>
    <xf numFmtId="0" fontId="1" fillId="0" borderId="15" xfId="0" applyFont="1" applyBorder="1"/>
    <xf numFmtId="0" fontId="1" fillId="0" borderId="18" xfId="0" applyFont="1" applyBorder="1" applyAlignment="1">
      <alignment horizontal="center"/>
    </xf>
    <xf numFmtId="0" fontId="11" fillId="0" borderId="5" xfId="0" applyFont="1" applyBorder="1" applyAlignment="1">
      <alignment horizontal="center"/>
    </xf>
    <xf numFmtId="0" fontId="1" fillId="7" borderId="21" xfId="0" applyFont="1" applyFill="1" applyBorder="1" applyAlignment="1">
      <alignment horizontal="center"/>
    </xf>
    <xf numFmtId="0" fontId="1" fillId="0" borderId="35" xfId="0" applyFont="1" applyBorder="1" applyAlignment="1">
      <alignment horizontal="center"/>
    </xf>
    <xf numFmtId="0" fontId="1" fillId="0" borderId="27" xfId="0" applyFont="1" applyBorder="1"/>
    <xf numFmtId="0" fontId="1" fillId="7" borderId="27" xfId="0" applyFont="1" applyFill="1" applyBorder="1"/>
    <xf numFmtId="0" fontId="1" fillId="0" borderId="31" xfId="0" applyFont="1" applyBorder="1"/>
    <xf numFmtId="0" fontId="11" fillId="7" borderId="31" xfId="0" applyFont="1" applyFill="1" applyBorder="1" applyAlignment="1">
      <alignment horizontal="center"/>
    </xf>
    <xf numFmtId="0" fontId="1" fillId="7" borderId="27" xfId="0" applyFont="1" applyFill="1" applyBorder="1" applyAlignment="1">
      <alignment horizontal="center"/>
    </xf>
    <xf numFmtId="0" fontId="11" fillId="7" borderId="0" xfId="0" applyFont="1" applyFill="1" applyAlignment="1">
      <alignment horizontal="center"/>
    </xf>
    <xf numFmtId="0" fontId="0" fillId="0" borderId="0" xfId="0"/>
    <xf numFmtId="0" fontId="1" fillId="0" borderId="0" xfId="0" applyFont="1" applyAlignment="1">
      <alignment wrapText="1"/>
    </xf>
    <xf numFmtId="0" fontId="11" fillId="7" borderId="0" xfId="0" applyFont="1" applyFill="1" applyAlignment="1">
      <alignment horizontal="center"/>
    </xf>
    <xf numFmtId="0" fontId="1" fillId="7" borderId="0" xfId="0" applyFont="1" applyFill="1"/>
    <xf numFmtId="0" fontId="1" fillId="0" borderId="0" xfId="0" applyFont="1" applyAlignment="1">
      <alignment horizontal="center"/>
    </xf>
  </cellXfs>
  <cellStyles count="1">
    <cellStyle name="Normal" xfId="0" builtinId="0"/>
  </cellStyles>
  <dxfs count="19">
    <dxf>
      <font>
        <color rgb="FF000000"/>
      </font>
      <fill>
        <patternFill patternType="solid">
          <fgColor rgb="FF000000"/>
          <bgColor rgb="FF000000"/>
        </patternFill>
      </fill>
    </dxf>
    <dxf>
      <font>
        <color rgb="FF000000"/>
      </font>
      <fill>
        <patternFill patternType="solid">
          <fgColor rgb="FF000000"/>
          <bgColor rgb="FF000000"/>
        </patternFill>
      </fill>
    </dxf>
    <dxf>
      <font>
        <color rgb="FF000000"/>
      </font>
      <fill>
        <patternFill patternType="solid">
          <fgColor rgb="FF000000"/>
          <bgColor rgb="FF000000"/>
        </patternFill>
      </fill>
    </dxf>
    <dxf>
      <font>
        <color rgb="FF000000"/>
      </font>
      <fill>
        <patternFill patternType="solid">
          <fgColor rgb="FF000000"/>
          <bgColor rgb="FF000000"/>
        </patternFill>
      </fill>
    </dxf>
    <dxf>
      <font>
        <color rgb="FF000000"/>
      </font>
      <fill>
        <patternFill patternType="solid">
          <fgColor rgb="FF000000"/>
          <bgColor rgb="FF000000"/>
        </patternFill>
      </fill>
    </dxf>
    <dxf>
      <font>
        <color rgb="FF000000"/>
      </font>
      <fill>
        <patternFill patternType="solid">
          <fgColor rgb="FFFF9900"/>
          <bgColor rgb="FFFF9900"/>
        </patternFill>
      </fill>
    </dxf>
    <dxf>
      <font>
        <color rgb="FF000000"/>
      </font>
      <fill>
        <patternFill patternType="solid">
          <fgColor rgb="FFFF0000"/>
          <bgColor rgb="FFFF0000"/>
        </patternFill>
      </fill>
    </dxf>
    <dxf>
      <font>
        <b/>
      </font>
      <fill>
        <patternFill patternType="solid">
          <fgColor rgb="FFFF0000"/>
          <bgColor rgb="FFFF0000"/>
        </patternFill>
      </fill>
    </dxf>
    <dxf>
      <font>
        <color rgb="FF000000"/>
      </font>
      <fill>
        <patternFill patternType="solid">
          <fgColor rgb="FF000000"/>
          <bgColor rgb="FF000000"/>
        </patternFill>
      </fill>
    </dxf>
    <dxf>
      <font>
        <color rgb="FF000000"/>
      </font>
      <fill>
        <patternFill patternType="solid">
          <fgColor rgb="FF000000"/>
          <bgColor rgb="FF000000"/>
        </patternFill>
      </fill>
    </dxf>
    <dxf>
      <font>
        <color rgb="FF000000"/>
      </font>
      <fill>
        <patternFill patternType="solid">
          <fgColor rgb="FF000000"/>
          <bgColor rgb="FF000000"/>
        </patternFill>
      </fill>
    </dxf>
    <dxf>
      <font>
        <color rgb="FF000000"/>
      </font>
      <fill>
        <patternFill patternType="solid">
          <fgColor rgb="FF000000"/>
          <bgColor rgb="FF000000"/>
        </patternFill>
      </fill>
    </dxf>
    <dxf>
      <font>
        <color rgb="FF000000"/>
      </font>
      <fill>
        <patternFill patternType="solid">
          <fgColor rgb="FF000000"/>
          <bgColor rgb="FF000000"/>
        </patternFill>
      </fill>
    </dxf>
    <dxf>
      <font>
        <color rgb="FF000000"/>
      </font>
      <fill>
        <patternFill patternType="solid">
          <fgColor rgb="FFFF9900"/>
          <bgColor rgb="FFFF9900"/>
        </patternFill>
      </fill>
    </dxf>
    <dxf>
      <font>
        <color rgb="FF000000"/>
      </font>
      <fill>
        <patternFill patternType="solid">
          <fgColor rgb="FFFF0000"/>
          <bgColor rgb="FFFF0000"/>
        </patternFill>
      </fill>
    </dxf>
    <dxf>
      <font>
        <b/>
      </font>
      <fill>
        <patternFill patternType="solid">
          <fgColor rgb="FFFF0000"/>
          <bgColor rgb="FFFF0000"/>
        </patternFill>
      </fill>
    </dxf>
    <dxf>
      <fill>
        <patternFill patternType="solid">
          <fgColor rgb="FFF4C7C3"/>
          <bgColor rgb="FFF4C7C3"/>
        </patternFill>
      </fill>
    </dxf>
    <dxf>
      <fill>
        <patternFill patternType="solid">
          <fgColor rgb="FFB7E1CD"/>
          <bgColor rgb="FFB7E1CD"/>
        </patternFill>
      </fill>
    </dxf>
    <dxf>
      <fill>
        <patternFill patternType="solid">
          <fgColor rgb="FFFCE8B2"/>
          <bgColor rgb="FFFCE8B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Iobi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obia*"/>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900FF"/>
    <outlinePr summaryBelow="0" summaryRight="0"/>
  </sheetPr>
  <dimension ref="A1:AE1982"/>
  <sheetViews>
    <sheetView tabSelected="1" workbookViewId="0">
      <pane xSplit="3" ySplit="2" topLeftCell="D3" activePane="bottomRight" state="frozen"/>
      <selection pane="topRight" activeCell="D1" sqref="D1"/>
      <selection pane="bottomLeft" activeCell="A3" sqref="A3"/>
      <selection pane="bottomRight" activeCell="G3" sqref="G3"/>
    </sheetView>
  </sheetViews>
  <sheetFormatPr baseColWidth="10" defaultColWidth="12.6640625" defaultRowHeight="15.75" customHeight="1" x14ac:dyDescent="0.15"/>
  <cols>
    <col min="1" max="1" width="3" customWidth="1"/>
    <col min="2" max="2" width="17.6640625" customWidth="1"/>
    <col min="3" max="3" width="20.6640625" customWidth="1"/>
    <col min="4" max="4" width="47.1640625" customWidth="1"/>
    <col min="5" max="5" width="35.1640625" customWidth="1"/>
    <col min="6" max="6" width="12.83203125" customWidth="1"/>
    <col min="7" max="7" width="31.1640625" customWidth="1"/>
    <col min="8" max="8" width="2.5" hidden="1" customWidth="1"/>
    <col min="9" max="12" width="2.1640625" hidden="1" customWidth="1"/>
    <col min="13" max="13" width="2.6640625" hidden="1" customWidth="1"/>
    <col min="14" max="14" width="21.6640625" hidden="1" customWidth="1"/>
    <col min="15" max="15" width="3.1640625" customWidth="1"/>
    <col min="16" max="16" width="2.1640625" customWidth="1"/>
    <col min="17" max="17" width="3.6640625" customWidth="1"/>
    <col min="18" max="18" width="3.1640625" customWidth="1"/>
    <col min="19" max="19" width="3.6640625" customWidth="1"/>
    <col min="20" max="20" width="2.6640625" customWidth="1"/>
    <col min="21" max="21" width="2.5" customWidth="1"/>
    <col min="22" max="24" width="2.1640625" customWidth="1"/>
    <col min="25" max="25" width="99" customWidth="1"/>
    <col min="26" max="26" width="19.33203125" customWidth="1"/>
    <col min="27" max="27" width="18.1640625" customWidth="1"/>
    <col min="28" max="31" width="14.33203125" customWidth="1"/>
  </cols>
  <sheetData>
    <row r="1" spans="1:28" ht="25" x14ac:dyDescent="0.2">
      <c r="A1" s="1">
        <f>COUNTIF(A2:A1999,"=0")</f>
        <v>458</v>
      </c>
      <c r="C1" s="2"/>
      <c r="D1" s="2"/>
      <c r="E1" s="2" t="s">
        <v>0</v>
      </c>
      <c r="F1" s="3"/>
      <c r="G1" s="4"/>
      <c r="H1" s="5"/>
      <c r="N1" s="6"/>
      <c r="AB1" s="7"/>
    </row>
    <row r="2" spans="1:28" ht="14" x14ac:dyDescent="0.15">
      <c r="A2" s="8"/>
      <c r="B2" s="1" t="s">
        <v>1</v>
      </c>
      <c r="C2" s="7" t="s">
        <v>2</v>
      </c>
      <c r="D2" s="7" t="s">
        <v>3</v>
      </c>
      <c r="E2" s="7" t="s">
        <v>4</v>
      </c>
      <c r="F2" s="9" t="s">
        <v>5</v>
      </c>
      <c r="G2" s="1" t="s">
        <v>6</v>
      </c>
      <c r="H2" s="1" t="s">
        <v>7</v>
      </c>
      <c r="I2" s="1" t="s">
        <v>8</v>
      </c>
      <c r="J2" s="1" t="s">
        <v>9</v>
      </c>
      <c r="K2" s="1" t="s">
        <v>10</v>
      </c>
      <c r="L2" s="1" t="s">
        <v>11</v>
      </c>
      <c r="M2" s="1" t="s">
        <v>12</v>
      </c>
      <c r="N2" s="6"/>
      <c r="O2" s="1" t="s">
        <v>13</v>
      </c>
      <c r="P2" s="1" t="s">
        <v>14</v>
      </c>
      <c r="Q2" s="1" t="s">
        <v>15</v>
      </c>
      <c r="R2" s="1" t="s">
        <v>16</v>
      </c>
      <c r="S2" s="1" t="s">
        <v>17</v>
      </c>
      <c r="T2" s="1" t="s">
        <v>18</v>
      </c>
      <c r="U2" s="1" t="s">
        <v>19</v>
      </c>
      <c r="V2" s="1" t="s">
        <v>20</v>
      </c>
      <c r="W2" s="1" t="s">
        <v>21</v>
      </c>
      <c r="X2" s="1" t="s">
        <v>22</v>
      </c>
      <c r="AB2" s="7"/>
    </row>
    <row r="3" spans="1:28" ht="196" x14ac:dyDescent="0.15">
      <c r="A3">
        <f t="shared" ref="A3:A257" si="0">ISBLANK(B3)+ISBLANK(C3)+ISBLANK(D3)+ISBLANK(E3)+ISBLANK(F3)+ISBLANK(G3)</f>
        <v>0</v>
      </c>
      <c r="B3" s="1" t="s">
        <v>23</v>
      </c>
      <c r="C3" s="7" t="s">
        <v>24</v>
      </c>
      <c r="D3" s="7" t="s">
        <v>25</v>
      </c>
      <c r="E3" s="7" t="s">
        <v>26</v>
      </c>
      <c r="F3" s="9" t="s">
        <v>27</v>
      </c>
      <c r="G3" s="1" t="s">
        <v>28</v>
      </c>
      <c r="H3" s="10">
        <v>0</v>
      </c>
      <c r="I3" s="10">
        <v>0</v>
      </c>
      <c r="J3" s="10">
        <v>6</v>
      </c>
      <c r="K3" s="10">
        <v>0</v>
      </c>
      <c r="L3" s="10">
        <v>0</v>
      </c>
      <c r="M3" s="10">
        <v>6</v>
      </c>
      <c r="N3" s="10"/>
      <c r="O3" s="7">
        <v>10</v>
      </c>
      <c r="P3" s="7"/>
      <c r="Q3" s="7"/>
      <c r="Y3" s="1" t="s">
        <v>29</v>
      </c>
      <c r="AB3" s="7"/>
    </row>
    <row r="4" spans="1:28" ht="70" x14ac:dyDescent="0.15">
      <c r="A4">
        <f t="shared" si="0"/>
        <v>0</v>
      </c>
      <c r="B4" s="1" t="s">
        <v>23</v>
      </c>
      <c r="C4" s="7" t="s">
        <v>30</v>
      </c>
      <c r="D4" s="7" t="s">
        <v>31</v>
      </c>
      <c r="E4" s="7" t="s">
        <v>32</v>
      </c>
      <c r="F4" s="9" t="s">
        <v>33</v>
      </c>
      <c r="G4" s="1" t="s">
        <v>34</v>
      </c>
      <c r="H4" s="10">
        <v>6</v>
      </c>
      <c r="I4" s="10"/>
      <c r="J4" s="10"/>
      <c r="K4" s="10"/>
      <c r="L4" s="10"/>
      <c r="M4" s="10">
        <v>6</v>
      </c>
      <c r="N4" s="10"/>
      <c r="O4" s="7">
        <v>60</v>
      </c>
      <c r="P4" s="7">
        <v>130</v>
      </c>
      <c r="Q4" s="7">
        <v>210</v>
      </c>
      <c r="Y4" s="1" t="s">
        <v>35</v>
      </c>
      <c r="AB4" s="7"/>
    </row>
    <row r="5" spans="1:28" ht="112" x14ac:dyDescent="0.15">
      <c r="A5">
        <f t="shared" si="0"/>
        <v>0</v>
      </c>
      <c r="B5" s="1" t="s">
        <v>23</v>
      </c>
      <c r="C5" s="7" t="s">
        <v>36</v>
      </c>
      <c r="D5" s="7" t="s">
        <v>37</v>
      </c>
      <c r="E5" s="7" t="s">
        <v>38</v>
      </c>
      <c r="F5" s="9" t="s">
        <v>39</v>
      </c>
      <c r="G5" s="1" t="s">
        <v>40</v>
      </c>
      <c r="H5" s="10">
        <v>0</v>
      </c>
      <c r="I5" s="10">
        <v>0</v>
      </c>
      <c r="J5" s="10">
        <v>6</v>
      </c>
      <c r="K5" s="10">
        <v>6</v>
      </c>
      <c r="L5" s="10">
        <v>0</v>
      </c>
      <c r="M5" s="10">
        <v>6</v>
      </c>
      <c r="N5" s="10"/>
      <c r="O5" s="7">
        <v>15</v>
      </c>
      <c r="P5" s="7"/>
      <c r="Q5" s="7"/>
      <c r="Y5" s="1" t="s">
        <v>41</v>
      </c>
      <c r="AB5" s="7"/>
    </row>
    <row r="6" spans="1:28" ht="56" x14ac:dyDescent="0.15">
      <c r="A6">
        <f t="shared" si="0"/>
        <v>0</v>
      </c>
      <c r="B6" s="1" t="s">
        <v>23</v>
      </c>
      <c r="C6" s="7" t="s">
        <v>42</v>
      </c>
      <c r="D6" s="7" t="s">
        <v>43</v>
      </c>
      <c r="E6" s="7" t="s">
        <v>44</v>
      </c>
      <c r="F6" s="9" t="s">
        <v>27</v>
      </c>
      <c r="G6" s="1" t="s">
        <v>45</v>
      </c>
      <c r="H6" s="10">
        <v>0</v>
      </c>
      <c r="I6" s="10">
        <v>4</v>
      </c>
      <c r="J6" s="10">
        <v>4</v>
      </c>
      <c r="K6" s="10">
        <v>0</v>
      </c>
      <c r="L6" s="10">
        <v>0</v>
      </c>
      <c r="M6" s="10">
        <v>8</v>
      </c>
      <c r="N6" s="10"/>
      <c r="O6" s="7">
        <v>10</v>
      </c>
      <c r="P6" s="7"/>
      <c r="Q6" s="7"/>
      <c r="Y6" s="1" t="s">
        <v>46</v>
      </c>
      <c r="AB6" s="7"/>
    </row>
    <row r="7" spans="1:28" ht="140" x14ac:dyDescent="0.15">
      <c r="A7">
        <f t="shared" si="0"/>
        <v>0</v>
      </c>
      <c r="B7" s="1" t="s">
        <v>23</v>
      </c>
      <c r="C7" s="7" t="s">
        <v>47</v>
      </c>
      <c r="D7" s="7" t="s">
        <v>48</v>
      </c>
      <c r="E7" s="7" t="s">
        <v>49</v>
      </c>
      <c r="F7" s="9" t="s">
        <v>50</v>
      </c>
      <c r="G7" s="1" t="s">
        <v>51</v>
      </c>
      <c r="H7" s="10"/>
      <c r="I7" s="10"/>
      <c r="J7" s="10"/>
      <c r="K7" s="10"/>
      <c r="L7" s="10"/>
      <c r="M7" s="10"/>
      <c r="N7" s="10"/>
      <c r="O7" s="7">
        <v>100</v>
      </c>
      <c r="P7" s="7"/>
      <c r="Q7" s="7"/>
      <c r="AB7" s="7"/>
    </row>
    <row r="8" spans="1:28" ht="56" x14ac:dyDescent="0.15">
      <c r="A8">
        <f t="shared" si="0"/>
        <v>0</v>
      </c>
      <c r="B8" s="1" t="s">
        <v>23</v>
      </c>
      <c r="C8" s="7" t="s">
        <v>52</v>
      </c>
      <c r="D8" s="7" t="s">
        <v>53</v>
      </c>
      <c r="E8" s="7" t="s">
        <v>54</v>
      </c>
      <c r="F8" s="9" t="s">
        <v>55</v>
      </c>
      <c r="G8" s="1" t="s">
        <v>56</v>
      </c>
      <c r="H8" s="10">
        <v>12</v>
      </c>
      <c r="I8" s="10"/>
      <c r="J8" s="10"/>
      <c r="K8" s="10">
        <v>12</v>
      </c>
      <c r="L8" s="10">
        <v>12</v>
      </c>
      <c r="M8" s="10">
        <v>12</v>
      </c>
      <c r="N8" s="10"/>
      <c r="O8" s="7">
        <v>30</v>
      </c>
      <c r="P8" s="7">
        <v>70</v>
      </c>
      <c r="Q8" s="7">
        <v>120</v>
      </c>
      <c r="Y8" s="1" t="s">
        <v>57</v>
      </c>
      <c r="AB8" s="7"/>
    </row>
    <row r="9" spans="1:28" ht="28" x14ac:dyDescent="0.15">
      <c r="A9">
        <f t="shared" si="0"/>
        <v>0</v>
      </c>
      <c r="B9" s="1" t="s">
        <v>23</v>
      </c>
      <c r="C9" s="7" t="s">
        <v>58</v>
      </c>
      <c r="D9" s="7" t="s">
        <v>59</v>
      </c>
      <c r="E9" s="7" t="s">
        <v>60</v>
      </c>
      <c r="F9" s="9" t="s">
        <v>50</v>
      </c>
      <c r="G9" s="1" t="s">
        <v>61</v>
      </c>
      <c r="H9" s="10"/>
      <c r="I9" s="10"/>
      <c r="J9" s="10"/>
      <c r="K9" s="10"/>
      <c r="L9" s="10"/>
      <c r="M9" s="10"/>
      <c r="N9" s="10"/>
      <c r="O9" s="7">
        <v>100</v>
      </c>
      <c r="P9" s="7"/>
      <c r="Q9" s="7"/>
      <c r="Y9" s="1" t="s">
        <v>62</v>
      </c>
      <c r="AB9" s="7"/>
    </row>
    <row r="10" spans="1:28" ht="42" x14ac:dyDescent="0.15">
      <c r="A10">
        <f t="shared" si="0"/>
        <v>0</v>
      </c>
      <c r="B10" s="1" t="s">
        <v>23</v>
      </c>
      <c r="C10" s="7" t="s">
        <v>63</v>
      </c>
      <c r="D10" s="7" t="s">
        <v>64</v>
      </c>
      <c r="E10" s="7" t="s">
        <v>65</v>
      </c>
      <c r="F10" s="9" t="s">
        <v>66</v>
      </c>
      <c r="G10" s="1" t="s">
        <v>67</v>
      </c>
      <c r="H10" s="10"/>
      <c r="I10" s="10"/>
      <c r="J10" s="10"/>
      <c r="K10" s="10"/>
      <c r="L10" s="10"/>
      <c r="M10" s="10"/>
      <c r="N10" s="10"/>
      <c r="O10" s="7">
        <v>20</v>
      </c>
      <c r="P10" s="7">
        <v>50</v>
      </c>
      <c r="Q10" s="7">
        <v>90</v>
      </c>
      <c r="Y10" s="1" t="s">
        <v>68</v>
      </c>
      <c r="AB10" s="7"/>
    </row>
    <row r="11" spans="1:28" ht="84" x14ac:dyDescent="0.15">
      <c r="A11">
        <f t="shared" si="0"/>
        <v>0</v>
      </c>
      <c r="B11" s="1" t="s">
        <v>23</v>
      </c>
      <c r="C11" s="7" t="s">
        <v>69</v>
      </c>
      <c r="D11" s="7" t="s">
        <v>70</v>
      </c>
      <c r="E11" s="7" t="s">
        <v>71</v>
      </c>
      <c r="F11" s="9" t="s">
        <v>66</v>
      </c>
      <c r="G11" s="1" t="s">
        <v>72</v>
      </c>
      <c r="H11" s="10">
        <v>10</v>
      </c>
      <c r="I11" s="10"/>
      <c r="J11" s="10">
        <v>10</v>
      </c>
      <c r="K11" s="10"/>
      <c r="L11" s="10"/>
      <c r="M11" s="10">
        <v>10</v>
      </c>
      <c r="N11" s="10"/>
      <c r="O11" s="11">
        <v>20</v>
      </c>
      <c r="P11" s="7">
        <v>50</v>
      </c>
      <c r="Q11" s="7">
        <v>90</v>
      </c>
      <c r="Y11" s="1" t="s">
        <v>73</v>
      </c>
      <c r="AB11" s="7"/>
    </row>
    <row r="12" spans="1:28" ht="70" x14ac:dyDescent="0.15">
      <c r="A12">
        <f t="shared" si="0"/>
        <v>0</v>
      </c>
      <c r="B12" s="1" t="s">
        <v>23</v>
      </c>
      <c r="C12" s="7" t="s">
        <v>74</v>
      </c>
      <c r="D12" s="7" t="s">
        <v>75</v>
      </c>
      <c r="E12" s="7" t="s">
        <v>76</v>
      </c>
      <c r="F12" s="9" t="s">
        <v>27</v>
      </c>
      <c r="G12" s="1" t="s">
        <v>77</v>
      </c>
      <c r="H12" s="10">
        <v>6</v>
      </c>
      <c r="I12" s="10">
        <v>0</v>
      </c>
      <c r="J12" s="10">
        <v>6</v>
      </c>
      <c r="K12" s="10">
        <v>0</v>
      </c>
      <c r="L12" s="10">
        <v>0</v>
      </c>
      <c r="M12" s="10">
        <v>6</v>
      </c>
      <c r="N12" s="10"/>
      <c r="O12" s="7">
        <v>10</v>
      </c>
      <c r="P12" s="7"/>
      <c r="Q12" s="7"/>
      <c r="AB12" s="7"/>
    </row>
    <row r="13" spans="1:28" ht="56" x14ac:dyDescent="0.15">
      <c r="A13">
        <f t="shared" si="0"/>
        <v>0</v>
      </c>
      <c r="B13" s="1" t="s">
        <v>23</v>
      </c>
      <c r="C13" s="7" t="s">
        <v>78</v>
      </c>
      <c r="D13" s="7" t="s">
        <v>79</v>
      </c>
      <c r="E13" s="7" t="s">
        <v>80</v>
      </c>
      <c r="F13" s="9" t="s">
        <v>81</v>
      </c>
      <c r="G13" s="1" t="s">
        <v>82</v>
      </c>
      <c r="H13" s="10"/>
      <c r="I13" s="10"/>
      <c r="J13" s="10"/>
      <c r="K13" s="10"/>
      <c r="L13" s="10">
        <v>4</v>
      </c>
      <c r="M13" s="10">
        <v>10</v>
      </c>
      <c r="N13" s="10"/>
      <c r="O13" s="7">
        <v>40</v>
      </c>
      <c r="P13" s="7">
        <v>90</v>
      </c>
      <c r="Q13" s="7">
        <v>150</v>
      </c>
      <c r="AB13" s="7"/>
    </row>
    <row r="14" spans="1:28" ht="42" x14ac:dyDescent="0.15">
      <c r="A14">
        <f t="shared" si="0"/>
        <v>0</v>
      </c>
      <c r="B14" s="1" t="s">
        <v>23</v>
      </c>
      <c r="C14" s="7" t="s">
        <v>83</v>
      </c>
      <c r="D14" s="7" t="s">
        <v>84</v>
      </c>
      <c r="E14" s="7" t="s">
        <v>85</v>
      </c>
      <c r="F14" s="9" t="s">
        <v>27</v>
      </c>
      <c r="G14" s="1" t="s">
        <v>86</v>
      </c>
      <c r="H14" s="10">
        <v>8</v>
      </c>
      <c r="I14" s="10">
        <v>0</v>
      </c>
      <c r="J14" s="10">
        <v>0</v>
      </c>
      <c r="K14" s="10">
        <v>8</v>
      </c>
      <c r="L14" s="10">
        <v>0</v>
      </c>
      <c r="M14" s="10">
        <v>8</v>
      </c>
      <c r="N14" s="10"/>
      <c r="O14" s="7">
        <v>10</v>
      </c>
      <c r="P14" s="7"/>
      <c r="Q14" s="7"/>
      <c r="AB14" s="7"/>
    </row>
    <row r="15" spans="1:28" ht="154" x14ac:dyDescent="0.15">
      <c r="A15">
        <f t="shared" si="0"/>
        <v>0</v>
      </c>
      <c r="B15" s="1" t="s">
        <v>23</v>
      </c>
      <c r="C15" s="7" t="s">
        <v>87</v>
      </c>
      <c r="D15" s="7" t="s">
        <v>88</v>
      </c>
      <c r="E15" s="7" t="s">
        <v>89</v>
      </c>
      <c r="F15" s="9" t="s">
        <v>90</v>
      </c>
      <c r="G15" s="1" t="s">
        <v>91</v>
      </c>
      <c r="H15" s="10">
        <v>6</v>
      </c>
      <c r="I15" s="10"/>
      <c r="J15" s="10">
        <v>6</v>
      </c>
      <c r="K15" s="10"/>
      <c r="L15" s="10"/>
      <c r="M15" s="10">
        <v>6</v>
      </c>
      <c r="N15" s="10"/>
      <c r="O15" s="7">
        <v>20</v>
      </c>
      <c r="P15" s="7">
        <v>40</v>
      </c>
      <c r="Q15" s="7"/>
      <c r="AB15" s="7"/>
    </row>
    <row r="16" spans="1:28" ht="70" x14ac:dyDescent="0.15">
      <c r="A16">
        <f t="shared" si="0"/>
        <v>0</v>
      </c>
      <c r="B16" s="1" t="s">
        <v>23</v>
      </c>
      <c r="C16" s="7" t="s">
        <v>92</v>
      </c>
      <c r="D16" s="7" t="s">
        <v>93</v>
      </c>
      <c r="E16" s="7" t="s">
        <v>93</v>
      </c>
      <c r="F16" s="9" t="s">
        <v>27</v>
      </c>
      <c r="G16" s="1" t="s">
        <v>94</v>
      </c>
      <c r="H16" s="10">
        <v>6</v>
      </c>
      <c r="I16" s="10">
        <v>0</v>
      </c>
      <c r="J16" s="10">
        <v>0</v>
      </c>
      <c r="K16" s="10">
        <v>0</v>
      </c>
      <c r="L16" s="10">
        <v>0</v>
      </c>
      <c r="M16" s="10">
        <v>6</v>
      </c>
      <c r="N16" s="10"/>
      <c r="O16" s="7">
        <v>10</v>
      </c>
      <c r="P16" s="7">
        <v>20</v>
      </c>
      <c r="Q16" s="7">
        <v>30</v>
      </c>
      <c r="AB16" s="7"/>
    </row>
    <row r="17" spans="1:28" ht="42" x14ac:dyDescent="0.15">
      <c r="A17">
        <f t="shared" si="0"/>
        <v>0</v>
      </c>
      <c r="B17" s="1" t="s">
        <v>23</v>
      </c>
      <c r="C17" s="7" t="s">
        <v>95</v>
      </c>
      <c r="D17" s="7" t="s">
        <v>96</v>
      </c>
      <c r="E17" s="7" t="s">
        <v>97</v>
      </c>
      <c r="F17" s="9" t="s">
        <v>98</v>
      </c>
      <c r="G17" s="1" t="s">
        <v>99</v>
      </c>
      <c r="H17" s="10">
        <v>3</v>
      </c>
      <c r="I17" s="10">
        <v>0</v>
      </c>
      <c r="J17" s="10">
        <v>0</v>
      </c>
      <c r="K17" s="10">
        <v>3</v>
      </c>
      <c r="L17" s="10">
        <v>0</v>
      </c>
      <c r="M17" s="10">
        <v>6</v>
      </c>
      <c r="N17" s="10"/>
      <c r="O17" s="7">
        <v>15</v>
      </c>
      <c r="P17" s="7">
        <v>45</v>
      </c>
      <c r="Q17" s="7">
        <v>90</v>
      </c>
      <c r="AB17" s="7"/>
    </row>
    <row r="18" spans="1:28" ht="70" x14ac:dyDescent="0.15">
      <c r="A18">
        <f t="shared" si="0"/>
        <v>0</v>
      </c>
      <c r="B18" s="1" t="s">
        <v>23</v>
      </c>
      <c r="C18" s="7" t="s">
        <v>100</v>
      </c>
      <c r="D18" s="7" t="s">
        <v>101</v>
      </c>
      <c r="E18" s="7" t="s">
        <v>102</v>
      </c>
      <c r="F18" s="9" t="s">
        <v>27</v>
      </c>
      <c r="G18" s="1" t="s">
        <v>103</v>
      </c>
      <c r="H18" s="10">
        <v>8</v>
      </c>
      <c r="I18" s="10"/>
      <c r="J18" s="10"/>
      <c r="K18" s="10"/>
      <c r="L18" s="10"/>
      <c r="M18" s="10">
        <v>8</v>
      </c>
      <c r="N18" s="10"/>
      <c r="O18" s="7">
        <v>10</v>
      </c>
      <c r="P18" s="7">
        <v>20</v>
      </c>
      <c r="Q18" s="7">
        <v>30</v>
      </c>
      <c r="R18" s="1">
        <v>40</v>
      </c>
      <c r="AB18" s="7"/>
    </row>
    <row r="19" spans="1:28" ht="42" x14ac:dyDescent="0.15">
      <c r="A19">
        <f t="shared" si="0"/>
        <v>0</v>
      </c>
      <c r="B19" s="1" t="s">
        <v>23</v>
      </c>
      <c r="C19" s="7" t="s">
        <v>104</v>
      </c>
      <c r="D19" s="7" t="s">
        <v>105</v>
      </c>
      <c r="E19" s="7" t="s">
        <v>106</v>
      </c>
      <c r="F19" s="9" t="s">
        <v>107</v>
      </c>
      <c r="G19" s="1" t="s">
        <v>108</v>
      </c>
      <c r="H19" s="10"/>
      <c r="I19" s="10"/>
      <c r="J19" s="10"/>
      <c r="K19" s="10"/>
      <c r="L19" s="10"/>
      <c r="M19" s="10"/>
      <c r="N19" s="10"/>
      <c r="O19" s="7">
        <v>20</v>
      </c>
      <c r="P19" s="7"/>
      <c r="Q19" s="7"/>
      <c r="AB19" s="7"/>
    </row>
    <row r="20" spans="1:28" ht="42" x14ac:dyDescent="0.15">
      <c r="A20">
        <f t="shared" si="0"/>
        <v>0</v>
      </c>
      <c r="B20" s="1" t="s">
        <v>23</v>
      </c>
      <c r="C20" s="7" t="s">
        <v>109</v>
      </c>
      <c r="D20" s="7" t="s">
        <v>110</v>
      </c>
      <c r="E20" s="7" t="s">
        <v>111</v>
      </c>
      <c r="F20" s="9" t="s">
        <v>112</v>
      </c>
      <c r="G20" s="1" t="s">
        <v>113</v>
      </c>
      <c r="H20" s="10"/>
      <c r="I20" s="10"/>
      <c r="J20" s="10"/>
      <c r="K20" s="10"/>
      <c r="L20" s="10"/>
      <c r="M20" s="10"/>
      <c r="N20" s="10"/>
      <c r="O20" s="7">
        <v>40</v>
      </c>
      <c r="P20" s="7"/>
      <c r="Q20" s="7"/>
      <c r="AB20" s="7"/>
    </row>
    <row r="21" spans="1:28" ht="70" x14ac:dyDescent="0.15">
      <c r="A21">
        <f t="shared" si="0"/>
        <v>0</v>
      </c>
      <c r="B21" s="12" t="s">
        <v>23</v>
      </c>
      <c r="C21" s="13" t="s">
        <v>114</v>
      </c>
      <c r="D21" s="13" t="s">
        <v>115</v>
      </c>
      <c r="E21" s="13" t="s">
        <v>116</v>
      </c>
      <c r="F21" s="14" t="s">
        <v>117</v>
      </c>
      <c r="G21" s="12" t="s">
        <v>118</v>
      </c>
      <c r="H21" s="15">
        <v>4</v>
      </c>
      <c r="I21" s="15">
        <v>4</v>
      </c>
      <c r="J21" s="15">
        <v>0</v>
      </c>
      <c r="K21" s="15">
        <v>0</v>
      </c>
      <c r="L21" s="15">
        <v>4</v>
      </c>
      <c r="M21" s="15">
        <v>4</v>
      </c>
      <c r="N21" s="15"/>
      <c r="O21" s="13">
        <v>20</v>
      </c>
      <c r="P21" s="13">
        <v>60</v>
      </c>
      <c r="Q21" s="12">
        <v>120</v>
      </c>
      <c r="R21" s="12">
        <v>200</v>
      </c>
      <c r="AB21" s="7"/>
    </row>
    <row r="22" spans="1:28" ht="70" x14ac:dyDescent="0.15">
      <c r="A22">
        <f t="shared" si="0"/>
        <v>0</v>
      </c>
      <c r="B22" s="1" t="s">
        <v>23</v>
      </c>
      <c r="C22" s="7" t="s">
        <v>119</v>
      </c>
      <c r="D22" s="7" t="s">
        <v>120</v>
      </c>
      <c r="E22" s="7" t="s">
        <v>121</v>
      </c>
      <c r="F22" s="9" t="s">
        <v>122</v>
      </c>
      <c r="G22" s="1" t="s">
        <v>123</v>
      </c>
      <c r="H22" s="10">
        <v>6</v>
      </c>
      <c r="I22" s="10">
        <v>6</v>
      </c>
      <c r="J22" s="10">
        <v>6</v>
      </c>
      <c r="K22" s="10">
        <v>0</v>
      </c>
      <c r="L22" s="10">
        <v>0</v>
      </c>
      <c r="M22" s="10">
        <v>6</v>
      </c>
      <c r="N22" s="10"/>
      <c r="O22" s="7">
        <v>10</v>
      </c>
      <c r="P22" s="7">
        <v>25</v>
      </c>
      <c r="Q22" s="7">
        <v>45</v>
      </c>
      <c r="AB22" s="7"/>
    </row>
    <row r="23" spans="1:28" ht="140" x14ac:dyDescent="0.15">
      <c r="A23">
        <f t="shared" si="0"/>
        <v>0</v>
      </c>
      <c r="B23" s="1" t="s">
        <v>23</v>
      </c>
      <c r="C23" s="7" t="s">
        <v>124</v>
      </c>
      <c r="D23" s="7" t="s">
        <v>125</v>
      </c>
      <c r="E23" s="7" t="s">
        <v>126</v>
      </c>
      <c r="F23" s="9" t="s">
        <v>127</v>
      </c>
      <c r="G23" s="1" t="s">
        <v>128</v>
      </c>
      <c r="H23" s="10"/>
      <c r="I23" s="10"/>
      <c r="J23" s="10"/>
      <c r="K23" s="10"/>
      <c r="L23" s="10"/>
      <c r="M23" s="10"/>
      <c r="N23" s="10"/>
      <c r="O23" s="7">
        <v>50</v>
      </c>
      <c r="P23" s="7"/>
      <c r="Q23" s="7"/>
      <c r="AB23" s="7"/>
    </row>
    <row r="24" spans="1:28" ht="252" x14ac:dyDescent="0.15">
      <c r="A24">
        <f t="shared" si="0"/>
        <v>0</v>
      </c>
      <c r="B24" s="1" t="s">
        <v>129</v>
      </c>
      <c r="C24" s="7" t="s">
        <v>130</v>
      </c>
      <c r="D24" s="7" t="s">
        <v>131</v>
      </c>
      <c r="E24" s="7" t="s">
        <v>132</v>
      </c>
      <c r="F24" s="9" t="s">
        <v>133</v>
      </c>
      <c r="G24" s="1" t="s">
        <v>134</v>
      </c>
      <c r="H24" s="10"/>
      <c r="I24" s="10"/>
      <c r="J24" s="10"/>
      <c r="K24" s="10">
        <v>3</v>
      </c>
      <c r="L24" s="10">
        <v>3</v>
      </c>
      <c r="M24" s="10">
        <v>6</v>
      </c>
      <c r="N24" s="10"/>
      <c r="O24" s="7">
        <v>20</v>
      </c>
      <c r="P24" s="7">
        <v>50</v>
      </c>
      <c r="Q24" s="7">
        <v>90</v>
      </c>
      <c r="AB24" s="7"/>
    </row>
    <row r="25" spans="1:28" ht="345" x14ac:dyDescent="0.15">
      <c r="A25">
        <f t="shared" si="0"/>
        <v>0</v>
      </c>
      <c r="B25" s="1" t="s">
        <v>129</v>
      </c>
      <c r="C25" s="7" t="s">
        <v>135</v>
      </c>
      <c r="D25" s="7" t="s">
        <v>136</v>
      </c>
      <c r="E25" s="7" t="s">
        <v>137</v>
      </c>
      <c r="F25" s="9" t="s">
        <v>138</v>
      </c>
      <c r="G25" s="1" t="s">
        <v>139</v>
      </c>
      <c r="H25" s="10"/>
      <c r="I25" s="10">
        <v>7</v>
      </c>
      <c r="J25" s="10"/>
      <c r="K25" s="10">
        <v>7</v>
      </c>
      <c r="L25" s="10"/>
      <c r="M25" s="10">
        <v>14</v>
      </c>
      <c r="N25" s="10"/>
      <c r="O25" s="7">
        <v>30</v>
      </c>
      <c r="P25" s="7">
        <v>70</v>
      </c>
      <c r="Q25" s="7">
        <v>150</v>
      </c>
      <c r="AB25" s="7"/>
    </row>
    <row r="26" spans="1:28" ht="238" x14ac:dyDescent="0.15">
      <c r="A26">
        <f t="shared" si="0"/>
        <v>0</v>
      </c>
      <c r="B26" s="1" t="s">
        <v>129</v>
      </c>
      <c r="C26" s="7" t="s">
        <v>140</v>
      </c>
      <c r="D26" s="7" t="s">
        <v>141</v>
      </c>
      <c r="E26" s="7" t="s">
        <v>142</v>
      </c>
      <c r="F26" s="9" t="s">
        <v>50</v>
      </c>
      <c r="G26" s="1" t="s">
        <v>143</v>
      </c>
      <c r="H26" s="10"/>
      <c r="I26" s="10"/>
      <c r="J26" s="10">
        <v>20</v>
      </c>
      <c r="K26" s="10"/>
      <c r="L26" s="10"/>
      <c r="M26" s="10">
        <v>20</v>
      </c>
      <c r="N26" s="10"/>
      <c r="O26" s="7">
        <v>100</v>
      </c>
      <c r="P26" s="7"/>
      <c r="Q26" s="7"/>
      <c r="AB26" s="7"/>
    </row>
    <row r="27" spans="1:28" ht="168" x14ac:dyDescent="0.15">
      <c r="A27">
        <f t="shared" si="0"/>
        <v>0</v>
      </c>
      <c r="B27" s="1" t="s">
        <v>129</v>
      </c>
      <c r="C27" s="7" t="s">
        <v>144</v>
      </c>
      <c r="D27" s="7" t="s">
        <v>145</v>
      </c>
      <c r="E27" s="7" t="s">
        <v>146</v>
      </c>
      <c r="F27" s="9" t="s">
        <v>50</v>
      </c>
      <c r="G27" s="1" t="s">
        <v>147</v>
      </c>
      <c r="H27" s="10">
        <v>20</v>
      </c>
      <c r="I27" s="10"/>
      <c r="J27" s="10"/>
      <c r="K27" s="10"/>
      <c r="L27" s="10"/>
      <c r="M27" s="10">
        <v>20</v>
      </c>
      <c r="N27" s="10"/>
      <c r="O27" s="7">
        <v>100</v>
      </c>
      <c r="P27" s="7"/>
      <c r="Q27" s="7"/>
      <c r="AB27" s="7"/>
    </row>
    <row r="28" spans="1:28" ht="56" x14ac:dyDescent="0.15">
      <c r="A28">
        <f t="shared" si="0"/>
        <v>0</v>
      </c>
      <c r="B28" s="1" t="s">
        <v>129</v>
      </c>
      <c r="C28" s="7" t="s">
        <v>148</v>
      </c>
      <c r="D28" s="7" t="s">
        <v>149</v>
      </c>
      <c r="E28" s="7" t="s">
        <v>150</v>
      </c>
      <c r="F28" s="9" t="s">
        <v>151</v>
      </c>
      <c r="G28" s="1" t="s">
        <v>152</v>
      </c>
      <c r="H28" s="10">
        <v>6</v>
      </c>
      <c r="I28" s="10">
        <v>0</v>
      </c>
      <c r="J28" s="10">
        <v>0</v>
      </c>
      <c r="K28" s="10">
        <v>0</v>
      </c>
      <c r="L28" s="10">
        <v>0</v>
      </c>
      <c r="M28" s="10">
        <v>6</v>
      </c>
      <c r="N28" s="10"/>
      <c r="O28" s="7">
        <v>50</v>
      </c>
      <c r="P28" s="7">
        <v>100</v>
      </c>
      <c r="Q28" s="1">
        <v>150</v>
      </c>
      <c r="AB28" s="7"/>
    </row>
    <row r="29" spans="1:28" ht="84" x14ac:dyDescent="0.15">
      <c r="A29">
        <f t="shared" si="0"/>
        <v>0</v>
      </c>
      <c r="B29" s="1" t="s">
        <v>129</v>
      </c>
      <c r="C29" s="7" t="s">
        <v>153</v>
      </c>
      <c r="D29" s="7" t="s">
        <v>154</v>
      </c>
      <c r="E29" s="7" t="s">
        <v>155</v>
      </c>
      <c r="F29" s="9" t="s">
        <v>112</v>
      </c>
      <c r="G29" s="1" t="s">
        <v>156</v>
      </c>
      <c r="H29" s="10"/>
      <c r="I29" s="10"/>
      <c r="J29" s="10"/>
      <c r="K29" s="10"/>
      <c r="L29" s="10"/>
      <c r="M29" s="10"/>
      <c r="N29" s="10"/>
      <c r="O29" s="7">
        <v>40</v>
      </c>
      <c r="P29" s="7"/>
      <c r="Q29" s="7"/>
      <c r="AB29" s="7"/>
    </row>
    <row r="30" spans="1:28" ht="70" x14ac:dyDescent="0.15">
      <c r="A30">
        <f t="shared" si="0"/>
        <v>0</v>
      </c>
      <c r="B30" s="1" t="s">
        <v>129</v>
      </c>
      <c r="C30" s="7" t="s">
        <v>157</v>
      </c>
      <c r="D30" s="7" t="s">
        <v>158</v>
      </c>
      <c r="E30" s="7" t="s">
        <v>159</v>
      </c>
      <c r="F30" s="9" t="s">
        <v>160</v>
      </c>
      <c r="G30" s="1" t="s">
        <v>161</v>
      </c>
      <c r="H30" s="10"/>
      <c r="I30" s="10"/>
      <c r="J30" s="10"/>
      <c r="K30" s="10"/>
      <c r="L30" s="10">
        <v>6</v>
      </c>
      <c r="M30" s="10">
        <v>6</v>
      </c>
      <c r="N30" s="10"/>
      <c r="O30" s="7">
        <v>10</v>
      </c>
      <c r="P30" s="7">
        <v>30</v>
      </c>
      <c r="Q30" s="7">
        <v>60</v>
      </c>
      <c r="AB30" s="7"/>
    </row>
    <row r="31" spans="1:28" ht="332" x14ac:dyDescent="0.15">
      <c r="A31">
        <f t="shared" si="0"/>
        <v>0</v>
      </c>
      <c r="B31" s="1" t="s">
        <v>129</v>
      </c>
      <c r="C31" s="7" t="s">
        <v>162</v>
      </c>
      <c r="D31" s="7" t="s">
        <v>163</v>
      </c>
      <c r="E31" s="7" t="s">
        <v>164</v>
      </c>
      <c r="F31" s="9" t="s">
        <v>107</v>
      </c>
      <c r="G31" s="1" t="s">
        <v>165</v>
      </c>
      <c r="H31" s="10"/>
      <c r="I31" s="10">
        <v>6</v>
      </c>
      <c r="J31" s="10"/>
      <c r="K31" s="10">
        <v>6</v>
      </c>
      <c r="L31" s="10"/>
      <c r="M31" s="10">
        <v>6</v>
      </c>
      <c r="N31" s="10"/>
      <c r="O31" s="7">
        <v>20</v>
      </c>
      <c r="P31" s="7"/>
      <c r="Q31" s="7"/>
      <c r="AB31" s="7"/>
    </row>
    <row r="32" spans="1:28" ht="306" x14ac:dyDescent="0.15">
      <c r="A32">
        <f t="shared" si="0"/>
        <v>0</v>
      </c>
      <c r="B32" s="1" t="s">
        <v>129</v>
      </c>
      <c r="C32" s="7" t="s">
        <v>166</v>
      </c>
      <c r="D32" s="7" t="s">
        <v>167</v>
      </c>
      <c r="E32" s="7" t="s">
        <v>168</v>
      </c>
      <c r="F32" s="9" t="s">
        <v>169</v>
      </c>
      <c r="G32" s="1" t="s">
        <v>170</v>
      </c>
      <c r="H32" s="10">
        <v>4</v>
      </c>
      <c r="I32" s="10"/>
      <c r="J32" s="10"/>
      <c r="K32" s="10"/>
      <c r="L32" s="10"/>
      <c r="M32" s="10">
        <v>4</v>
      </c>
      <c r="N32" s="10"/>
      <c r="O32" s="7">
        <v>5</v>
      </c>
      <c r="P32" s="7">
        <v>10</v>
      </c>
      <c r="Q32" s="1">
        <v>15</v>
      </c>
      <c r="R32" s="1">
        <v>20</v>
      </c>
      <c r="S32" s="1">
        <v>25</v>
      </c>
      <c r="T32" s="1">
        <v>30</v>
      </c>
      <c r="U32" s="1">
        <v>35</v>
      </c>
      <c r="V32" s="1">
        <v>40</v>
      </c>
      <c r="W32" s="1">
        <v>45</v>
      </c>
      <c r="X32" s="1">
        <v>50</v>
      </c>
      <c r="AB32" s="7"/>
    </row>
    <row r="33" spans="1:28" ht="126" x14ac:dyDescent="0.15">
      <c r="A33">
        <f t="shared" si="0"/>
        <v>0</v>
      </c>
      <c r="B33" s="1" t="s">
        <v>129</v>
      </c>
      <c r="C33" s="1" t="s">
        <v>171</v>
      </c>
      <c r="D33" s="7" t="s">
        <v>172</v>
      </c>
      <c r="E33" s="7" t="s">
        <v>173</v>
      </c>
      <c r="F33" s="9" t="s">
        <v>112</v>
      </c>
      <c r="G33" s="1" t="s">
        <v>128</v>
      </c>
      <c r="H33" s="10"/>
      <c r="I33" s="10"/>
      <c r="J33" s="10"/>
      <c r="K33" s="10"/>
      <c r="L33" s="10"/>
      <c r="M33" s="10"/>
      <c r="N33" s="10"/>
      <c r="O33" s="7">
        <v>40</v>
      </c>
      <c r="P33" s="7"/>
      <c r="Q33" s="7"/>
      <c r="AB33" s="7"/>
    </row>
    <row r="34" spans="1:28" ht="56" x14ac:dyDescent="0.15">
      <c r="A34">
        <f t="shared" si="0"/>
        <v>0</v>
      </c>
      <c r="B34" s="1" t="s">
        <v>129</v>
      </c>
      <c r="C34" s="7" t="s">
        <v>174</v>
      </c>
      <c r="D34" s="7" t="s">
        <v>175</v>
      </c>
      <c r="E34" s="7" t="s">
        <v>176</v>
      </c>
      <c r="F34" s="9" t="s">
        <v>27</v>
      </c>
      <c r="G34" s="1" t="s">
        <v>177</v>
      </c>
      <c r="H34" s="10"/>
      <c r="I34" s="10"/>
      <c r="J34" s="10"/>
      <c r="K34" s="10"/>
      <c r="L34" s="10"/>
      <c r="M34" s="10"/>
      <c r="N34" s="10"/>
      <c r="O34" s="7">
        <v>10</v>
      </c>
      <c r="P34" s="7"/>
      <c r="Q34" s="7"/>
      <c r="AB34" s="7"/>
    </row>
    <row r="35" spans="1:28" ht="182" x14ac:dyDescent="0.15">
      <c r="A35">
        <f t="shared" si="0"/>
        <v>0</v>
      </c>
      <c r="B35" s="1" t="s">
        <v>129</v>
      </c>
      <c r="C35" s="7" t="s">
        <v>178</v>
      </c>
      <c r="D35" s="7" t="s">
        <v>179</v>
      </c>
      <c r="E35" s="7" t="s">
        <v>180</v>
      </c>
      <c r="F35" s="9" t="s">
        <v>107</v>
      </c>
      <c r="G35" s="1" t="s">
        <v>181</v>
      </c>
      <c r="H35" s="10"/>
      <c r="I35" s="10">
        <v>4</v>
      </c>
      <c r="J35" s="10"/>
      <c r="K35" s="10"/>
      <c r="L35" s="10">
        <v>4</v>
      </c>
      <c r="M35" s="10">
        <v>8</v>
      </c>
      <c r="N35" s="10"/>
      <c r="O35" s="7">
        <v>20</v>
      </c>
      <c r="P35" s="7"/>
      <c r="Q35" s="7"/>
      <c r="AB35" s="7"/>
    </row>
    <row r="36" spans="1:28" ht="154" x14ac:dyDescent="0.15">
      <c r="A36">
        <f t="shared" si="0"/>
        <v>0</v>
      </c>
      <c r="B36" s="1" t="s">
        <v>129</v>
      </c>
      <c r="C36" s="7" t="s">
        <v>182</v>
      </c>
      <c r="D36" s="7" t="s">
        <v>183</v>
      </c>
      <c r="E36" s="7" t="s">
        <v>184</v>
      </c>
      <c r="F36" s="9" t="s">
        <v>185</v>
      </c>
      <c r="G36" s="1" t="s">
        <v>186</v>
      </c>
      <c r="H36" s="10"/>
      <c r="I36" s="10"/>
      <c r="J36" s="10"/>
      <c r="K36" s="10"/>
      <c r="L36" s="10"/>
      <c r="M36" s="10"/>
      <c r="N36" s="10"/>
      <c r="O36" s="7">
        <v>30</v>
      </c>
      <c r="P36" s="7"/>
      <c r="Q36" s="7"/>
      <c r="AB36" s="7"/>
    </row>
    <row r="37" spans="1:28" ht="112" x14ac:dyDescent="0.15">
      <c r="A37">
        <f t="shared" si="0"/>
        <v>0</v>
      </c>
      <c r="B37" s="16" t="s">
        <v>129</v>
      </c>
      <c r="C37" s="16" t="s">
        <v>187</v>
      </c>
      <c r="D37" s="17" t="s">
        <v>188</v>
      </c>
      <c r="E37" s="16" t="s">
        <v>189</v>
      </c>
      <c r="F37" s="18" t="s">
        <v>190</v>
      </c>
      <c r="G37" s="19" t="s">
        <v>191</v>
      </c>
      <c r="H37" s="20"/>
      <c r="I37" s="20"/>
      <c r="J37" s="20"/>
      <c r="K37" s="20"/>
      <c r="L37" s="20"/>
      <c r="M37" s="20"/>
      <c r="N37" s="20"/>
      <c r="O37" s="21">
        <v>20</v>
      </c>
      <c r="P37" s="21">
        <v>50</v>
      </c>
      <c r="Q37" s="7"/>
      <c r="AB37" s="7"/>
    </row>
    <row r="38" spans="1:28" ht="182" x14ac:dyDescent="0.15">
      <c r="A38">
        <f t="shared" si="0"/>
        <v>0</v>
      </c>
      <c r="B38" s="1" t="s">
        <v>129</v>
      </c>
      <c r="C38" s="7" t="s">
        <v>192</v>
      </c>
      <c r="D38" s="7" t="s">
        <v>193</v>
      </c>
      <c r="E38" s="7" t="s">
        <v>194</v>
      </c>
      <c r="F38" s="9" t="s">
        <v>195</v>
      </c>
      <c r="G38" s="1" t="s">
        <v>196</v>
      </c>
      <c r="H38" s="10">
        <v>0</v>
      </c>
      <c r="I38" s="10">
        <v>0</v>
      </c>
      <c r="J38" s="10">
        <v>6</v>
      </c>
      <c r="K38" s="10">
        <v>0</v>
      </c>
      <c r="L38" s="10">
        <v>0</v>
      </c>
      <c r="M38" s="10">
        <v>6</v>
      </c>
      <c r="N38" s="10"/>
      <c r="O38" s="7">
        <v>15</v>
      </c>
      <c r="P38" s="7">
        <v>40</v>
      </c>
      <c r="Q38" s="7">
        <v>75</v>
      </c>
      <c r="AB38" s="7"/>
    </row>
    <row r="39" spans="1:28" ht="210" x14ac:dyDescent="0.15">
      <c r="A39">
        <f t="shared" si="0"/>
        <v>0</v>
      </c>
      <c r="B39" s="1" t="s">
        <v>129</v>
      </c>
      <c r="C39" s="7" t="s">
        <v>197</v>
      </c>
      <c r="D39" s="7" t="s">
        <v>198</v>
      </c>
      <c r="E39" s="7" t="s">
        <v>199</v>
      </c>
      <c r="F39" s="9" t="s">
        <v>195</v>
      </c>
      <c r="G39" s="1" t="s">
        <v>200</v>
      </c>
      <c r="H39" s="10"/>
      <c r="I39" s="10"/>
      <c r="J39" s="10"/>
      <c r="K39" s="10"/>
      <c r="L39" s="10"/>
      <c r="M39" s="10"/>
      <c r="N39" s="10"/>
      <c r="O39" s="7">
        <v>15</v>
      </c>
      <c r="P39" s="7">
        <v>40</v>
      </c>
      <c r="Q39" s="7">
        <v>75</v>
      </c>
      <c r="AB39" s="7"/>
    </row>
    <row r="40" spans="1:28" ht="196" x14ac:dyDescent="0.15">
      <c r="A40">
        <f t="shared" si="0"/>
        <v>0</v>
      </c>
      <c r="B40" s="1" t="s">
        <v>129</v>
      </c>
      <c r="C40" s="7" t="s">
        <v>201</v>
      </c>
      <c r="D40" s="7" t="s">
        <v>202</v>
      </c>
      <c r="E40" s="7" t="s">
        <v>203</v>
      </c>
      <c r="F40" s="9" t="s">
        <v>195</v>
      </c>
      <c r="G40" s="1" t="s">
        <v>204</v>
      </c>
      <c r="H40" s="10">
        <v>0</v>
      </c>
      <c r="I40" s="10">
        <v>6</v>
      </c>
      <c r="J40" s="10">
        <v>0</v>
      </c>
      <c r="K40" s="10">
        <v>0</v>
      </c>
      <c r="L40" s="10">
        <v>0</v>
      </c>
      <c r="M40" s="10">
        <v>6</v>
      </c>
      <c r="N40" s="10"/>
      <c r="O40" s="7">
        <v>15</v>
      </c>
      <c r="P40" s="7">
        <v>40</v>
      </c>
      <c r="Q40" s="7">
        <v>75</v>
      </c>
      <c r="AB40" s="7"/>
    </row>
    <row r="41" spans="1:28" ht="210" x14ac:dyDescent="0.15">
      <c r="A41">
        <f t="shared" si="0"/>
        <v>0</v>
      </c>
      <c r="B41" s="1" t="s">
        <v>129</v>
      </c>
      <c r="C41" s="7" t="s">
        <v>205</v>
      </c>
      <c r="D41" s="7" t="s">
        <v>206</v>
      </c>
      <c r="E41" s="7" t="s">
        <v>207</v>
      </c>
      <c r="F41" s="9" t="s">
        <v>195</v>
      </c>
      <c r="G41" s="1" t="s">
        <v>208</v>
      </c>
      <c r="H41" s="10"/>
      <c r="I41" s="10"/>
      <c r="J41" s="10"/>
      <c r="K41" s="10"/>
      <c r="L41" s="10"/>
      <c r="M41" s="10"/>
      <c r="N41" s="10"/>
      <c r="O41" s="7">
        <v>15</v>
      </c>
      <c r="P41" s="7">
        <v>40</v>
      </c>
      <c r="Q41" s="7">
        <v>75</v>
      </c>
      <c r="AB41" s="7"/>
    </row>
    <row r="42" spans="1:28" ht="288.75" customHeight="1" x14ac:dyDescent="0.15">
      <c r="A42">
        <f t="shared" si="0"/>
        <v>0</v>
      </c>
      <c r="B42" s="1" t="s">
        <v>129</v>
      </c>
      <c r="C42" s="7" t="s">
        <v>209</v>
      </c>
      <c r="D42" s="7" t="s">
        <v>210</v>
      </c>
      <c r="E42" s="7" t="s">
        <v>211</v>
      </c>
      <c r="F42" s="9" t="s">
        <v>195</v>
      </c>
      <c r="G42" s="1" t="s">
        <v>212</v>
      </c>
      <c r="H42" s="10">
        <v>0</v>
      </c>
      <c r="I42" s="10">
        <v>0</v>
      </c>
      <c r="J42" s="10">
        <v>0</v>
      </c>
      <c r="K42" s="10">
        <v>0</v>
      </c>
      <c r="L42" s="10">
        <v>6</v>
      </c>
      <c r="M42" s="10">
        <v>6</v>
      </c>
      <c r="N42" s="10"/>
      <c r="O42" s="7">
        <v>15</v>
      </c>
      <c r="P42" s="7">
        <v>40</v>
      </c>
      <c r="Q42" s="7">
        <v>75</v>
      </c>
      <c r="AB42" s="7"/>
    </row>
    <row r="43" spans="1:28" ht="210" x14ac:dyDescent="0.15">
      <c r="A43">
        <f t="shared" si="0"/>
        <v>0</v>
      </c>
      <c r="B43" s="1" t="s">
        <v>129</v>
      </c>
      <c r="C43" s="7" t="s">
        <v>213</v>
      </c>
      <c r="D43" s="7" t="s">
        <v>214</v>
      </c>
      <c r="E43" s="7" t="s">
        <v>215</v>
      </c>
      <c r="F43" s="9" t="s">
        <v>195</v>
      </c>
      <c r="G43" s="1" t="s">
        <v>216</v>
      </c>
      <c r="H43" s="10">
        <v>0</v>
      </c>
      <c r="I43" s="10">
        <v>0</v>
      </c>
      <c r="J43" s="10">
        <v>0</v>
      </c>
      <c r="K43" s="10">
        <v>6</v>
      </c>
      <c r="L43" s="10">
        <v>0</v>
      </c>
      <c r="M43" s="10">
        <v>6</v>
      </c>
      <c r="N43" s="10"/>
      <c r="O43" s="7">
        <v>15</v>
      </c>
      <c r="P43" s="7">
        <v>40</v>
      </c>
      <c r="Q43" s="7">
        <v>75</v>
      </c>
      <c r="AB43" s="7"/>
    </row>
    <row r="44" spans="1:28" ht="238" x14ac:dyDescent="0.15">
      <c r="A44">
        <f t="shared" si="0"/>
        <v>0</v>
      </c>
      <c r="B44" s="1" t="s">
        <v>129</v>
      </c>
      <c r="C44" s="7" t="s">
        <v>217</v>
      </c>
      <c r="D44" s="7" t="s">
        <v>218</v>
      </c>
      <c r="E44" s="7" t="s">
        <v>219</v>
      </c>
      <c r="F44" s="9" t="s">
        <v>195</v>
      </c>
      <c r="G44" s="1" t="s">
        <v>216</v>
      </c>
      <c r="H44" s="10">
        <v>0</v>
      </c>
      <c r="I44" s="10">
        <v>3</v>
      </c>
      <c r="J44" s="10">
        <v>0</v>
      </c>
      <c r="K44" s="10">
        <v>3</v>
      </c>
      <c r="L44" s="10">
        <v>0</v>
      </c>
      <c r="M44" s="10">
        <v>6</v>
      </c>
      <c r="N44" s="10"/>
      <c r="O44" s="7">
        <v>15</v>
      </c>
      <c r="P44" s="7">
        <v>40</v>
      </c>
      <c r="Q44" s="7">
        <v>75</v>
      </c>
      <c r="AB44" s="7"/>
    </row>
    <row r="45" spans="1:28" ht="266" x14ac:dyDescent="0.15">
      <c r="A45">
        <f t="shared" si="0"/>
        <v>0</v>
      </c>
      <c r="B45" s="1" t="s">
        <v>129</v>
      </c>
      <c r="C45" s="7" t="s">
        <v>220</v>
      </c>
      <c r="D45" s="7" t="s">
        <v>221</v>
      </c>
      <c r="E45" s="7" t="s">
        <v>222</v>
      </c>
      <c r="F45" s="9" t="s">
        <v>195</v>
      </c>
      <c r="G45" s="1" t="s">
        <v>223</v>
      </c>
      <c r="H45" s="10"/>
      <c r="I45" s="10"/>
      <c r="J45" s="10"/>
      <c r="K45" s="10"/>
      <c r="L45" s="10"/>
      <c r="M45" s="10"/>
      <c r="N45" s="10"/>
      <c r="O45" s="7"/>
      <c r="P45" s="7"/>
      <c r="Q45" s="7"/>
      <c r="AB45" s="7"/>
    </row>
    <row r="46" spans="1:28" ht="98" x14ac:dyDescent="0.15">
      <c r="A46">
        <f t="shared" si="0"/>
        <v>0</v>
      </c>
      <c r="B46" s="1" t="s">
        <v>129</v>
      </c>
      <c r="C46" s="7" t="s">
        <v>224</v>
      </c>
      <c r="D46" s="7" t="s">
        <v>225</v>
      </c>
      <c r="E46" s="7" t="s">
        <v>226</v>
      </c>
      <c r="F46" s="9" t="s">
        <v>107</v>
      </c>
      <c r="G46" s="1" t="s">
        <v>227</v>
      </c>
      <c r="H46" s="10"/>
      <c r="I46" s="10"/>
      <c r="J46" s="10"/>
      <c r="K46" s="10"/>
      <c r="L46" s="10"/>
      <c r="M46" s="10"/>
      <c r="N46" s="10"/>
      <c r="O46" s="7">
        <v>20</v>
      </c>
      <c r="P46" s="7"/>
      <c r="Q46" s="7"/>
      <c r="AB46" s="7"/>
    </row>
    <row r="47" spans="1:28" ht="98" x14ac:dyDescent="0.15">
      <c r="A47">
        <f t="shared" si="0"/>
        <v>0</v>
      </c>
      <c r="B47" s="1" t="s">
        <v>129</v>
      </c>
      <c r="C47" s="7" t="s">
        <v>228</v>
      </c>
      <c r="D47" s="7" t="s">
        <v>229</v>
      </c>
      <c r="E47" s="7" t="s">
        <v>230</v>
      </c>
      <c r="F47" s="9" t="s">
        <v>107</v>
      </c>
      <c r="G47" s="1" t="s">
        <v>231</v>
      </c>
      <c r="H47" s="10"/>
      <c r="I47" s="10"/>
      <c r="J47" s="10"/>
      <c r="K47" s="10"/>
      <c r="L47" s="10"/>
      <c r="M47" s="10"/>
      <c r="N47" s="10"/>
      <c r="O47" s="7">
        <v>20</v>
      </c>
      <c r="P47" s="7"/>
      <c r="Q47" s="7"/>
      <c r="AB47" s="7"/>
    </row>
    <row r="48" spans="1:28" ht="28" x14ac:dyDescent="0.15">
      <c r="A48">
        <f t="shared" si="0"/>
        <v>0</v>
      </c>
      <c r="B48" s="1" t="s">
        <v>129</v>
      </c>
      <c r="C48" s="7" t="s">
        <v>232</v>
      </c>
      <c r="D48" s="7" t="s">
        <v>233</v>
      </c>
      <c r="E48" s="7" t="s">
        <v>234</v>
      </c>
      <c r="F48" s="9" t="s">
        <v>235</v>
      </c>
      <c r="G48" s="1" t="s">
        <v>236</v>
      </c>
      <c r="H48" s="10">
        <v>4</v>
      </c>
      <c r="I48" s="10"/>
      <c r="J48" s="10"/>
      <c r="K48" s="10">
        <v>4</v>
      </c>
      <c r="L48" s="10"/>
      <c r="M48" s="10">
        <v>8</v>
      </c>
      <c r="N48" s="10"/>
      <c r="O48" s="7">
        <v>5</v>
      </c>
      <c r="P48" s="7"/>
      <c r="Q48" s="7"/>
      <c r="AB48" s="7"/>
    </row>
    <row r="49" spans="1:28" ht="70" x14ac:dyDescent="0.15">
      <c r="A49">
        <f t="shared" si="0"/>
        <v>0</v>
      </c>
      <c r="B49" t="s">
        <v>129</v>
      </c>
      <c r="C49" s="7" t="s">
        <v>237</v>
      </c>
      <c r="D49" s="7" t="s">
        <v>238</v>
      </c>
      <c r="E49" s="7" t="s">
        <v>239</v>
      </c>
      <c r="F49" s="9" t="s">
        <v>27</v>
      </c>
      <c r="G49" s="1" t="s">
        <v>240</v>
      </c>
      <c r="H49" s="10">
        <v>0</v>
      </c>
      <c r="I49" s="10">
        <v>0</v>
      </c>
      <c r="J49" s="10">
        <v>6</v>
      </c>
      <c r="K49" s="10">
        <v>0</v>
      </c>
      <c r="L49" s="10">
        <v>6</v>
      </c>
      <c r="M49" s="10">
        <v>6</v>
      </c>
      <c r="N49" s="10"/>
      <c r="O49" s="7">
        <v>10</v>
      </c>
      <c r="P49" s="7"/>
      <c r="Q49" s="7"/>
      <c r="AB49" s="7"/>
    </row>
    <row r="50" spans="1:28" ht="70" x14ac:dyDescent="0.15">
      <c r="A50">
        <f t="shared" si="0"/>
        <v>0</v>
      </c>
      <c r="B50" t="s">
        <v>129</v>
      </c>
      <c r="C50" s="7" t="s">
        <v>241</v>
      </c>
      <c r="D50" s="7" t="s">
        <v>238</v>
      </c>
      <c r="E50" s="7" t="s">
        <v>239</v>
      </c>
      <c r="F50" s="9" t="s">
        <v>27</v>
      </c>
      <c r="G50" s="1" t="s">
        <v>242</v>
      </c>
      <c r="H50" s="10">
        <v>0</v>
      </c>
      <c r="I50" s="10">
        <v>6</v>
      </c>
      <c r="J50" s="10">
        <v>0</v>
      </c>
      <c r="K50" s="10">
        <v>0</v>
      </c>
      <c r="L50" s="10">
        <v>0</v>
      </c>
      <c r="M50" s="10">
        <v>6</v>
      </c>
      <c r="N50" s="10"/>
      <c r="O50" s="7">
        <v>10</v>
      </c>
      <c r="P50" s="7"/>
      <c r="Q50" s="7"/>
      <c r="AB50" s="7"/>
    </row>
    <row r="51" spans="1:28" ht="70" x14ac:dyDescent="0.15">
      <c r="A51">
        <f t="shared" si="0"/>
        <v>0</v>
      </c>
      <c r="B51" s="1" t="s">
        <v>129</v>
      </c>
      <c r="C51" s="7" t="s">
        <v>243</v>
      </c>
      <c r="D51" s="7" t="s">
        <v>238</v>
      </c>
      <c r="E51" s="7" t="s">
        <v>239</v>
      </c>
      <c r="F51" s="9" t="s">
        <v>27</v>
      </c>
      <c r="G51" s="1" t="s">
        <v>244</v>
      </c>
      <c r="H51" s="10">
        <v>0</v>
      </c>
      <c r="I51" s="10">
        <v>0</v>
      </c>
      <c r="J51" s="10">
        <v>0</v>
      </c>
      <c r="K51" s="10">
        <v>6</v>
      </c>
      <c r="L51" s="10">
        <v>0</v>
      </c>
      <c r="M51" s="10">
        <v>6</v>
      </c>
      <c r="N51" s="10"/>
      <c r="O51" s="7">
        <v>10</v>
      </c>
      <c r="P51" s="7"/>
      <c r="Q51" s="7"/>
      <c r="AB51" s="7"/>
    </row>
    <row r="52" spans="1:28" ht="70" x14ac:dyDescent="0.15">
      <c r="A52">
        <f t="shared" si="0"/>
        <v>0</v>
      </c>
      <c r="B52" t="s">
        <v>129</v>
      </c>
      <c r="C52" s="7" t="s">
        <v>245</v>
      </c>
      <c r="D52" s="7" t="s">
        <v>238</v>
      </c>
      <c r="E52" s="7" t="s">
        <v>239</v>
      </c>
      <c r="F52" s="9" t="s">
        <v>27</v>
      </c>
      <c r="G52" s="1" t="s">
        <v>246</v>
      </c>
      <c r="H52" s="10">
        <v>0</v>
      </c>
      <c r="I52" s="10">
        <v>0</v>
      </c>
      <c r="J52" s="10">
        <v>0</v>
      </c>
      <c r="K52" s="10">
        <v>6</v>
      </c>
      <c r="L52" s="10">
        <v>0</v>
      </c>
      <c r="M52" s="10">
        <v>6</v>
      </c>
      <c r="N52" s="10"/>
      <c r="O52" s="7">
        <v>10</v>
      </c>
      <c r="P52" s="7"/>
      <c r="Q52" s="7"/>
      <c r="AB52" s="7"/>
    </row>
    <row r="53" spans="1:28" ht="70" x14ac:dyDescent="0.15">
      <c r="A53">
        <f t="shared" si="0"/>
        <v>0</v>
      </c>
      <c r="B53" t="s">
        <v>129</v>
      </c>
      <c r="C53" s="7" t="s">
        <v>247</v>
      </c>
      <c r="D53" s="7" t="s">
        <v>238</v>
      </c>
      <c r="E53" s="7" t="s">
        <v>239</v>
      </c>
      <c r="F53" s="9" t="s">
        <v>27</v>
      </c>
      <c r="G53" s="1" t="s">
        <v>246</v>
      </c>
      <c r="H53" s="10">
        <v>0</v>
      </c>
      <c r="I53" s="10">
        <v>3</v>
      </c>
      <c r="J53" s="10">
        <v>0</v>
      </c>
      <c r="K53" s="10">
        <v>3</v>
      </c>
      <c r="L53" s="10">
        <v>0</v>
      </c>
      <c r="M53" s="10">
        <v>6</v>
      </c>
      <c r="N53" s="10"/>
      <c r="O53" s="7">
        <v>10</v>
      </c>
      <c r="P53" s="7"/>
      <c r="Q53" s="7"/>
      <c r="AB53" s="7"/>
    </row>
    <row r="54" spans="1:28" ht="70" x14ac:dyDescent="0.15">
      <c r="A54">
        <f t="shared" si="0"/>
        <v>0</v>
      </c>
      <c r="B54" s="1" t="s">
        <v>129</v>
      </c>
      <c r="C54" s="7" t="s">
        <v>248</v>
      </c>
      <c r="D54" s="7" t="s">
        <v>238</v>
      </c>
      <c r="E54" s="7" t="s">
        <v>239</v>
      </c>
      <c r="F54" s="9" t="s">
        <v>27</v>
      </c>
      <c r="G54" s="1" t="s">
        <v>249</v>
      </c>
      <c r="H54" s="10">
        <v>0</v>
      </c>
      <c r="I54" s="10">
        <v>0</v>
      </c>
      <c r="J54" s="10">
        <v>0</v>
      </c>
      <c r="K54" s="10">
        <v>6</v>
      </c>
      <c r="L54" s="10">
        <v>0</v>
      </c>
      <c r="M54" s="10">
        <v>6</v>
      </c>
      <c r="N54" s="10"/>
      <c r="O54" s="7">
        <v>10</v>
      </c>
      <c r="P54" s="7"/>
      <c r="Q54" s="7"/>
      <c r="AB54" s="7"/>
    </row>
    <row r="55" spans="1:28" ht="98" x14ac:dyDescent="0.15">
      <c r="A55">
        <f t="shared" si="0"/>
        <v>0</v>
      </c>
      <c r="B55" s="1" t="s">
        <v>129</v>
      </c>
      <c r="C55" s="7" t="s">
        <v>250</v>
      </c>
      <c r="D55" s="7" t="s">
        <v>251</v>
      </c>
      <c r="E55" s="7" t="s">
        <v>252</v>
      </c>
      <c r="F55" s="9" t="s">
        <v>50</v>
      </c>
      <c r="G55" s="1" t="s">
        <v>253</v>
      </c>
      <c r="H55" s="10">
        <v>7</v>
      </c>
      <c r="I55" s="10"/>
      <c r="J55" s="10"/>
      <c r="K55" s="10">
        <v>7</v>
      </c>
      <c r="L55" s="10"/>
      <c r="M55" s="10">
        <v>14</v>
      </c>
      <c r="N55" s="10"/>
      <c r="O55" s="7">
        <v>100</v>
      </c>
      <c r="P55" s="7"/>
      <c r="Q55" s="7"/>
      <c r="Y55" s="1" t="s">
        <v>254</v>
      </c>
      <c r="AB55" s="7"/>
    </row>
    <row r="56" spans="1:28" ht="28" x14ac:dyDescent="0.15">
      <c r="A56">
        <f t="shared" si="0"/>
        <v>0</v>
      </c>
      <c r="B56" s="1" t="s">
        <v>129</v>
      </c>
      <c r="C56" s="7" t="s">
        <v>255</v>
      </c>
      <c r="D56" s="7" t="s">
        <v>256</v>
      </c>
      <c r="E56" s="7" t="s">
        <v>257</v>
      </c>
      <c r="F56" s="9" t="s">
        <v>27</v>
      </c>
      <c r="G56" s="1" t="s">
        <v>258</v>
      </c>
      <c r="H56" s="10">
        <v>0</v>
      </c>
      <c r="I56" s="10">
        <v>0</v>
      </c>
      <c r="J56" s="10">
        <v>0</v>
      </c>
      <c r="K56" s="10">
        <v>12</v>
      </c>
      <c r="L56" s="10">
        <v>0</v>
      </c>
      <c r="M56" s="10">
        <v>12</v>
      </c>
      <c r="N56" s="10"/>
      <c r="O56" s="7">
        <v>10</v>
      </c>
      <c r="P56" s="7"/>
      <c r="Q56" s="7"/>
      <c r="AB56" s="7"/>
    </row>
    <row r="57" spans="1:28" ht="42" x14ac:dyDescent="0.15">
      <c r="A57">
        <f t="shared" si="0"/>
        <v>0</v>
      </c>
      <c r="B57" s="1" t="s">
        <v>129</v>
      </c>
      <c r="C57" s="7" t="s">
        <v>259</v>
      </c>
      <c r="D57" s="7" t="s">
        <v>260</v>
      </c>
      <c r="E57" s="7" t="s">
        <v>261</v>
      </c>
      <c r="F57" s="9" t="s">
        <v>235</v>
      </c>
      <c r="G57" s="1" t="s">
        <v>262</v>
      </c>
      <c r="H57" s="10">
        <v>6</v>
      </c>
      <c r="I57" s="10"/>
      <c r="J57" s="10"/>
      <c r="K57" s="10"/>
      <c r="L57" s="10">
        <v>6</v>
      </c>
      <c r="M57" s="10">
        <v>6</v>
      </c>
      <c r="N57" s="10"/>
      <c r="O57" s="7">
        <v>5</v>
      </c>
      <c r="P57" s="7"/>
      <c r="Q57" s="7"/>
      <c r="Y57" s="1" t="s">
        <v>263</v>
      </c>
      <c r="AB57" s="7"/>
    </row>
    <row r="58" spans="1:28" ht="168" x14ac:dyDescent="0.15">
      <c r="A58">
        <f t="shared" si="0"/>
        <v>0</v>
      </c>
      <c r="B58" s="1" t="s">
        <v>129</v>
      </c>
      <c r="C58" s="7" t="s">
        <v>264</v>
      </c>
      <c r="D58" s="7" t="s">
        <v>265</v>
      </c>
      <c r="E58" s="7" t="s">
        <v>266</v>
      </c>
      <c r="F58" s="9" t="s">
        <v>50</v>
      </c>
      <c r="G58" s="1" t="s">
        <v>267</v>
      </c>
      <c r="H58" s="10"/>
      <c r="I58" s="10">
        <v>10</v>
      </c>
      <c r="J58" s="10">
        <v>10</v>
      </c>
      <c r="K58" s="10"/>
      <c r="L58" s="10"/>
      <c r="M58" s="10">
        <v>20</v>
      </c>
      <c r="N58" s="10"/>
      <c r="O58" s="7">
        <v>100</v>
      </c>
      <c r="P58" s="7"/>
      <c r="Q58" s="7"/>
      <c r="AB58" s="7"/>
    </row>
    <row r="59" spans="1:28" ht="112" x14ac:dyDescent="0.15">
      <c r="A59">
        <f t="shared" si="0"/>
        <v>0</v>
      </c>
      <c r="B59" s="1" t="s">
        <v>129</v>
      </c>
      <c r="C59" s="7" t="s">
        <v>268</v>
      </c>
      <c r="D59" s="7" t="s">
        <v>269</v>
      </c>
      <c r="E59" s="7" t="s">
        <v>270</v>
      </c>
      <c r="F59" s="9" t="s">
        <v>27</v>
      </c>
      <c r="G59" s="1" t="s">
        <v>271</v>
      </c>
      <c r="H59" s="10">
        <v>2</v>
      </c>
      <c r="I59" s="10">
        <v>0</v>
      </c>
      <c r="J59" s="10">
        <v>0</v>
      </c>
      <c r="K59" s="10">
        <v>0</v>
      </c>
      <c r="L59" s="10">
        <v>2</v>
      </c>
      <c r="M59" s="10">
        <v>4</v>
      </c>
      <c r="N59" s="10"/>
      <c r="O59" s="7">
        <v>10</v>
      </c>
      <c r="P59" s="7"/>
      <c r="Q59" s="7"/>
      <c r="AB59" s="7"/>
    </row>
    <row r="60" spans="1:28" ht="28" x14ac:dyDescent="0.15">
      <c r="A60">
        <f t="shared" si="0"/>
        <v>0</v>
      </c>
      <c r="B60" s="1" t="s">
        <v>129</v>
      </c>
      <c r="C60" s="7" t="s">
        <v>272</v>
      </c>
      <c r="D60" s="7" t="s">
        <v>273</v>
      </c>
      <c r="E60" s="7" t="s">
        <v>274</v>
      </c>
      <c r="F60" s="9" t="s">
        <v>27</v>
      </c>
      <c r="G60" s="1" t="s">
        <v>275</v>
      </c>
      <c r="H60" s="10">
        <v>0</v>
      </c>
      <c r="I60" s="10">
        <v>0</v>
      </c>
      <c r="J60" s="10">
        <v>10</v>
      </c>
      <c r="K60" s="10">
        <v>0</v>
      </c>
      <c r="L60" s="10">
        <v>0</v>
      </c>
      <c r="M60" s="10">
        <v>10</v>
      </c>
      <c r="N60" s="10"/>
      <c r="O60" s="7">
        <v>10</v>
      </c>
      <c r="P60" s="7"/>
      <c r="Q60" s="7"/>
      <c r="AB60" s="7"/>
    </row>
    <row r="61" spans="1:28" ht="98" x14ac:dyDescent="0.15">
      <c r="A61">
        <f t="shared" si="0"/>
        <v>0</v>
      </c>
      <c r="B61" s="1" t="s">
        <v>129</v>
      </c>
      <c r="C61" s="7" t="s">
        <v>276</v>
      </c>
      <c r="D61" s="7" t="s">
        <v>277</v>
      </c>
      <c r="E61" s="7" t="s">
        <v>278</v>
      </c>
      <c r="F61" s="9" t="s">
        <v>112</v>
      </c>
      <c r="G61" s="1" t="s">
        <v>279</v>
      </c>
      <c r="H61" s="10"/>
      <c r="I61" s="10"/>
      <c r="J61" s="10"/>
      <c r="K61" s="10"/>
      <c r="L61" s="10"/>
      <c r="M61" s="10"/>
      <c r="N61" s="10"/>
      <c r="O61" s="7">
        <v>40</v>
      </c>
      <c r="P61" s="7"/>
      <c r="Q61" s="7"/>
      <c r="AB61" s="7"/>
    </row>
    <row r="62" spans="1:28" ht="112" x14ac:dyDescent="0.15">
      <c r="A62">
        <f t="shared" si="0"/>
        <v>0</v>
      </c>
      <c r="B62" s="1" t="s">
        <v>129</v>
      </c>
      <c r="C62" s="7" t="s">
        <v>280</v>
      </c>
      <c r="D62" s="7" t="s">
        <v>281</v>
      </c>
      <c r="E62" s="7" t="s">
        <v>282</v>
      </c>
      <c r="F62" s="9" t="s">
        <v>185</v>
      </c>
      <c r="G62" s="1" t="s">
        <v>283</v>
      </c>
      <c r="H62" s="10"/>
      <c r="I62" s="10"/>
      <c r="J62" s="10"/>
      <c r="K62" s="10"/>
      <c r="L62" s="10">
        <v>12</v>
      </c>
      <c r="M62" s="10">
        <v>12</v>
      </c>
      <c r="N62" s="10"/>
      <c r="O62" s="7">
        <v>30</v>
      </c>
      <c r="P62" s="7"/>
      <c r="Q62" s="7"/>
      <c r="AB62" s="7"/>
    </row>
    <row r="63" spans="1:28" ht="42" x14ac:dyDescent="0.15">
      <c r="A63">
        <f t="shared" si="0"/>
        <v>0</v>
      </c>
      <c r="B63" s="1" t="s">
        <v>129</v>
      </c>
      <c r="C63" s="7" t="s">
        <v>284</v>
      </c>
      <c r="D63" s="7" t="s">
        <v>285</v>
      </c>
      <c r="E63" s="7" t="s">
        <v>286</v>
      </c>
      <c r="F63" s="9" t="s">
        <v>55</v>
      </c>
      <c r="G63" s="1" t="s">
        <v>287</v>
      </c>
      <c r="H63" s="10"/>
      <c r="I63" s="10"/>
      <c r="J63" s="10">
        <v>6</v>
      </c>
      <c r="K63" s="10">
        <v>6</v>
      </c>
      <c r="L63" s="10"/>
      <c r="M63" s="10">
        <v>6</v>
      </c>
      <c r="N63" s="10"/>
      <c r="O63" s="7">
        <v>30</v>
      </c>
      <c r="P63" s="7">
        <v>70</v>
      </c>
      <c r="Q63" s="7">
        <v>120</v>
      </c>
      <c r="AB63" s="7"/>
    </row>
    <row r="64" spans="1:28" ht="42" x14ac:dyDescent="0.15">
      <c r="A64">
        <f t="shared" si="0"/>
        <v>0</v>
      </c>
      <c r="B64" s="1" t="s">
        <v>129</v>
      </c>
      <c r="C64" s="7" t="s">
        <v>288</v>
      </c>
      <c r="D64" s="7" t="s">
        <v>289</v>
      </c>
      <c r="E64" s="7" t="s">
        <v>290</v>
      </c>
      <c r="F64" s="9" t="s">
        <v>169</v>
      </c>
      <c r="G64" s="1" t="s">
        <v>291</v>
      </c>
      <c r="H64" s="10"/>
      <c r="I64" s="10"/>
      <c r="J64" s="10"/>
      <c r="K64" s="10"/>
      <c r="L64" s="10">
        <v>4</v>
      </c>
      <c r="M64" s="10">
        <v>4</v>
      </c>
      <c r="N64" s="10"/>
      <c r="O64" s="7">
        <v>5</v>
      </c>
      <c r="P64" s="7">
        <v>10</v>
      </c>
      <c r="Q64" s="7">
        <v>15</v>
      </c>
      <c r="R64" s="1">
        <v>20</v>
      </c>
      <c r="S64" s="1">
        <v>25</v>
      </c>
      <c r="AB64" s="7"/>
    </row>
    <row r="65" spans="1:28" ht="70" x14ac:dyDescent="0.15">
      <c r="A65">
        <f t="shared" si="0"/>
        <v>0</v>
      </c>
      <c r="B65" s="1" t="s">
        <v>129</v>
      </c>
      <c r="C65" s="7" t="s">
        <v>292</v>
      </c>
      <c r="D65" s="7" t="s">
        <v>293</v>
      </c>
      <c r="E65" s="7" t="s">
        <v>294</v>
      </c>
      <c r="F65" s="7">
        <v>5</v>
      </c>
      <c r="G65" s="1" t="s">
        <v>295</v>
      </c>
      <c r="H65" s="10"/>
      <c r="I65" s="10"/>
      <c r="J65" s="10"/>
      <c r="K65" s="10"/>
      <c r="L65" s="10"/>
      <c r="M65" s="10"/>
      <c r="N65" s="10"/>
      <c r="O65" s="7">
        <v>5</v>
      </c>
      <c r="P65" s="7"/>
      <c r="Q65" s="7"/>
      <c r="AB65" s="7"/>
    </row>
    <row r="66" spans="1:28" ht="42" x14ac:dyDescent="0.15">
      <c r="A66">
        <f t="shared" si="0"/>
        <v>0</v>
      </c>
      <c r="B66" s="1" t="s">
        <v>296</v>
      </c>
      <c r="C66" s="7" t="s">
        <v>297</v>
      </c>
      <c r="D66" s="7" t="s">
        <v>298</v>
      </c>
      <c r="E66" s="7" t="s">
        <v>299</v>
      </c>
      <c r="F66" s="9" t="s">
        <v>300</v>
      </c>
      <c r="G66" s="1" t="s">
        <v>301</v>
      </c>
      <c r="H66" s="10">
        <v>1</v>
      </c>
      <c r="I66" s="10">
        <v>1</v>
      </c>
      <c r="J66" s="10">
        <v>1</v>
      </c>
      <c r="K66" s="10">
        <v>1</v>
      </c>
      <c r="L66" s="10">
        <v>1</v>
      </c>
      <c r="M66" s="10">
        <v>1</v>
      </c>
      <c r="N66" s="10"/>
      <c r="O66" s="7">
        <v>0</v>
      </c>
      <c r="P66" s="7"/>
      <c r="Q66" s="7"/>
      <c r="AB66" s="7"/>
    </row>
    <row r="67" spans="1:28" ht="98" x14ac:dyDescent="0.15">
      <c r="A67">
        <f t="shared" si="0"/>
        <v>0</v>
      </c>
      <c r="B67" s="1" t="s">
        <v>302</v>
      </c>
      <c r="C67" s="7" t="s">
        <v>303</v>
      </c>
      <c r="D67" s="7" t="s">
        <v>304</v>
      </c>
      <c r="E67" s="7" t="s">
        <v>305</v>
      </c>
      <c r="F67" s="9" t="s">
        <v>306</v>
      </c>
      <c r="G67" s="1" t="s">
        <v>307</v>
      </c>
      <c r="H67" s="10">
        <v>0</v>
      </c>
      <c r="I67" s="10">
        <v>0</v>
      </c>
      <c r="J67" s="10">
        <v>0</v>
      </c>
      <c r="K67" s="10">
        <v>10</v>
      </c>
      <c r="L67" s="10">
        <v>0</v>
      </c>
      <c r="M67" s="10">
        <v>10</v>
      </c>
      <c r="N67" s="10"/>
      <c r="O67" s="7">
        <v>5</v>
      </c>
      <c r="P67" s="7">
        <v>15</v>
      </c>
      <c r="Q67" s="7">
        <v>30</v>
      </c>
      <c r="AB67" s="7"/>
    </row>
    <row r="68" spans="1:28" ht="84" x14ac:dyDescent="0.15">
      <c r="A68">
        <f t="shared" si="0"/>
        <v>0</v>
      </c>
      <c r="B68" s="1" t="s">
        <v>308</v>
      </c>
      <c r="C68" s="7" t="s">
        <v>309</v>
      </c>
      <c r="D68" s="7" t="s">
        <v>310</v>
      </c>
      <c r="E68" s="7" t="s">
        <v>311</v>
      </c>
      <c r="F68" s="9" t="s">
        <v>235</v>
      </c>
      <c r="G68" s="1" t="s">
        <v>312</v>
      </c>
      <c r="H68" s="10">
        <v>4</v>
      </c>
      <c r="I68" s="10">
        <v>4</v>
      </c>
      <c r="J68" s="10"/>
      <c r="K68" s="10"/>
      <c r="L68" s="10"/>
      <c r="M68" s="10">
        <v>4</v>
      </c>
      <c r="N68" s="10"/>
      <c r="O68" s="7">
        <v>5</v>
      </c>
      <c r="P68" s="7"/>
      <c r="Q68" s="7"/>
      <c r="AB68" s="7"/>
    </row>
    <row r="69" spans="1:28" ht="56" x14ac:dyDescent="0.15">
      <c r="A69">
        <f t="shared" si="0"/>
        <v>0</v>
      </c>
      <c r="B69" s="1" t="s">
        <v>302</v>
      </c>
      <c r="C69" s="7" t="s">
        <v>313</v>
      </c>
      <c r="D69" s="7" t="s">
        <v>314</v>
      </c>
      <c r="E69" s="7" t="s">
        <v>315</v>
      </c>
      <c r="F69" s="9" t="s">
        <v>112</v>
      </c>
      <c r="G69" s="1" t="s">
        <v>316</v>
      </c>
      <c r="H69" s="10"/>
      <c r="I69" s="10"/>
      <c r="J69" s="10"/>
      <c r="K69" s="10"/>
      <c r="L69" s="10"/>
      <c r="M69" s="10"/>
      <c r="N69" s="10"/>
      <c r="O69" s="7">
        <v>40</v>
      </c>
      <c r="P69" s="7"/>
      <c r="Q69" s="7"/>
      <c r="AB69" s="7"/>
    </row>
    <row r="70" spans="1:28" ht="42" x14ac:dyDescent="0.15">
      <c r="A70">
        <f t="shared" si="0"/>
        <v>0</v>
      </c>
      <c r="B70" s="1" t="s">
        <v>302</v>
      </c>
      <c r="C70" s="7" t="s">
        <v>317</v>
      </c>
      <c r="D70" s="7" t="s">
        <v>318</v>
      </c>
      <c r="E70" s="7" t="s">
        <v>319</v>
      </c>
      <c r="F70" s="9" t="s">
        <v>235</v>
      </c>
      <c r="G70" s="1" t="s">
        <v>320</v>
      </c>
      <c r="H70" s="10">
        <v>2</v>
      </c>
      <c r="I70" s="10"/>
      <c r="J70" s="10"/>
      <c r="K70" s="10"/>
      <c r="L70" s="10"/>
      <c r="M70" s="10">
        <v>2</v>
      </c>
      <c r="N70" s="10"/>
      <c r="O70" s="7">
        <v>5</v>
      </c>
      <c r="P70" s="7"/>
      <c r="Q70" s="7"/>
      <c r="AB70" s="7"/>
    </row>
    <row r="71" spans="1:28" ht="84" x14ac:dyDescent="0.15">
      <c r="A71">
        <f t="shared" si="0"/>
        <v>0</v>
      </c>
      <c r="B71" s="1" t="s">
        <v>302</v>
      </c>
      <c r="C71" s="1" t="s">
        <v>321</v>
      </c>
      <c r="D71" s="7" t="s">
        <v>322</v>
      </c>
      <c r="E71" s="7" t="s">
        <v>323</v>
      </c>
      <c r="F71" s="9" t="s">
        <v>324</v>
      </c>
      <c r="G71" s="1" t="s">
        <v>325</v>
      </c>
      <c r="H71" s="10">
        <v>12</v>
      </c>
      <c r="I71" s="10"/>
      <c r="J71" s="10"/>
      <c r="K71" s="10"/>
      <c r="L71" s="10"/>
      <c r="M71" s="10">
        <v>12</v>
      </c>
      <c r="N71" s="10"/>
      <c r="O71" s="7">
        <v>25</v>
      </c>
      <c r="P71" s="7">
        <v>65</v>
      </c>
      <c r="Q71" s="7"/>
      <c r="AB71" s="7"/>
    </row>
    <row r="72" spans="1:28" ht="98" x14ac:dyDescent="0.15">
      <c r="A72">
        <f t="shared" si="0"/>
        <v>0</v>
      </c>
      <c r="B72" s="1" t="s">
        <v>302</v>
      </c>
      <c r="C72" s="7" t="s">
        <v>326</v>
      </c>
      <c r="D72" s="22" t="s">
        <v>327</v>
      </c>
      <c r="E72" s="7" t="s">
        <v>328</v>
      </c>
      <c r="F72" s="9" t="s">
        <v>50</v>
      </c>
      <c r="G72" s="1" t="s">
        <v>329</v>
      </c>
      <c r="H72" s="10"/>
      <c r="I72" s="10"/>
      <c r="J72" s="10"/>
      <c r="K72" s="10"/>
      <c r="L72" s="10"/>
      <c r="M72" s="10"/>
      <c r="N72" s="10"/>
      <c r="O72" s="7">
        <v>100</v>
      </c>
      <c r="P72" s="7"/>
      <c r="Q72" s="7"/>
      <c r="AB72" s="7"/>
    </row>
    <row r="73" spans="1:28" ht="70" x14ac:dyDescent="0.15">
      <c r="A73">
        <f t="shared" si="0"/>
        <v>0</v>
      </c>
      <c r="B73" s="1" t="s">
        <v>302</v>
      </c>
      <c r="C73" s="7" t="s">
        <v>330</v>
      </c>
      <c r="D73" s="7" t="s">
        <v>331</v>
      </c>
      <c r="E73" s="7" t="s">
        <v>332</v>
      </c>
      <c r="F73" s="9" t="s">
        <v>27</v>
      </c>
      <c r="G73" s="1" t="s">
        <v>333</v>
      </c>
      <c r="H73" s="10">
        <v>6</v>
      </c>
      <c r="I73" s="10">
        <v>0</v>
      </c>
      <c r="J73" s="10">
        <v>0</v>
      </c>
      <c r="K73" s="10">
        <v>0</v>
      </c>
      <c r="L73" s="10">
        <v>6</v>
      </c>
      <c r="M73" s="10">
        <v>12</v>
      </c>
      <c r="N73" s="10"/>
      <c r="O73" s="7">
        <v>10</v>
      </c>
      <c r="P73" s="7"/>
      <c r="Q73" s="7"/>
      <c r="AB73" s="7"/>
    </row>
    <row r="74" spans="1:28" ht="168" x14ac:dyDescent="0.15">
      <c r="A74">
        <f t="shared" si="0"/>
        <v>0</v>
      </c>
      <c r="B74" s="1" t="s">
        <v>302</v>
      </c>
      <c r="C74" s="7" t="s">
        <v>334</v>
      </c>
      <c r="D74" s="7" t="s">
        <v>335</v>
      </c>
      <c r="E74" s="7" t="s">
        <v>336</v>
      </c>
      <c r="F74" s="9" t="s">
        <v>107</v>
      </c>
      <c r="G74" s="1" t="s">
        <v>337</v>
      </c>
      <c r="H74" s="10"/>
      <c r="I74" s="10"/>
      <c r="J74" s="10"/>
      <c r="K74" s="10"/>
      <c r="L74" s="10"/>
      <c r="M74" s="10"/>
      <c r="N74" s="10"/>
      <c r="O74" s="7">
        <v>20</v>
      </c>
      <c r="P74" s="7"/>
      <c r="Q74" s="7"/>
      <c r="AB74" s="7"/>
    </row>
    <row r="75" spans="1:28" ht="84" x14ac:dyDescent="0.15">
      <c r="A75">
        <f t="shared" si="0"/>
        <v>0</v>
      </c>
      <c r="B75" s="12" t="s">
        <v>302</v>
      </c>
      <c r="C75" s="13" t="s">
        <v>338</v>
      </c>
      <c r="D75" s="13" t="s">
        <v>339</v>
      </c>
      <c r="E75" s="13" t="s">
        <v>340</v>
      </c>
      <c r="F75" s="14" t="s">
        <v>235</v>
      </c>
      <c r="G75" s="12" t="s">
        <v>341</v>
      </c>
      <c r="H75" s="15">
        <v>6</v>
      </c>
      <c r="I75" s="15"/>
      <c r="J75" s="15"/>
      <c r="K75" s="15"/>
      <c r="L75" s="15"/>
      <c r="M75" s="15">
        <v>6</v>
      </c>
      <c r="N75" s="15"/>
      <c r="O75" s="13">
        <v>5</v>
      </c>
      <c r="P75" s="7"/>
      <c r="Q75" s="7"/>
      <c r="AB75" s="7"/>
    </row>
    <row r="76" spans="1:28" ht="238" x14ac:dyDescent="0.15">
      <c r="A76">
        <f t="shared" si="0"/>
        <v>0</v>
      </c>
      <c r="B76" s="1" t="s">
        <v>302</v>
      </c>
      <c r="C76" s="7" t="s">
        <v>342</v>
      </c>
      <c r="D76" s="7" t="s">
        <v>343</v>
      </c>
      <c r="E76" s="7" t="s">
        <v>344</v>
      </c>
      <c r="F76" s="9" t="s">
        <v>345</v>
      </c>
      <c r="G76" s="1" t="s">
        <v>346</v>
      </c>
      <c r="H76" s="10">
        <v>2</v>
      </c>
      <c r="I76" s="10"/>
      <c r="J76" s="10"/>
      <c r="K76" s="10"/>
      <c r="L76" s="10"/>
      <c r="M76" s="10">
        <v>2</v>
      </c>
      <c r="N76" s="10"/>
      <c r="O76" s="7">
        <v>5</v>
      </c>
      <c r="P76" s="7">
        <v>20</v>
      </c>
      <c r="Q76" s="7">
        <v>45</v>
      </c>
      <c r="Y76" s="1" t="s">
        <v>347</v>
      </c>
      <c r="AB76" s="7"/>
    </row>
    <row r="77" spans="1:28" ht="70" x14ac:dyDescent="0.15">
      <c r="A77">
        <f t="shared" si="0"/>
        <v>0</v>
      </c>
      <c r="B77" s="1" t="s">
        <v>302</v>
      </c>
      <c r="C77" s="7" t="s">
        <v>348</v>
      </c>
      <c r="D77" s="7" t="s">
        <v>349</v>
      </c>
      <c r="E77" s="7" t="s">
        <v>350</v>
      </c>
      <c r="F77" s="9" t="s">
        <v>351</v>
      </c>
      <c r="G77" s="1" t="s">
        <v>352</v>
      </c>
      <c r="H77" s="10"/>
      <c r="I77" s="10">
        <v>4</v>
      </c>
      <c r="J77" s="10"/>
      <c r="K77" s="10"/>
      <c r="L77" s="10"/>
      <c r="M77" s="10">
        <v>4</v>
      </c>
      <c r="N77" s="10"/>
      <c r="O77" s="7">
        <v>30</v>
      </c>
      <c r="P77" s="7">
        <v>75</v>
      </c>
      <c r="Q77" s="7">
        <v>135</v>
      </c>
      <c r="AB77" s="7"/>
    </row>
    <row r="78" spans="1:28" ht="56" x14ac:dyDescent="0.15">
      <c r="A78">
        <f t="shared" si="0"/>
        <v>0</v>
      </c>
      <c r="B78" s="1" t="s">
        <v>302</v>
      </c>
      <c r="C78" s="7" t="s">
        <v>353</v>
      </c>
      <c r="D78" s="7" t="s">
        <v>354</v>
      </c>
      <c r="E78" s="7" t="s">
        <v>355</v>
      </c>
      <c r="F78" s="9" t="s">
        <v>107</v>
      </c>
      <c r="G78" s="1" t="s">
        <v>356</v>
      </c>
      <c r="H78" s="10"/>
      <c r="I78" s="10"/>
      <c r="J78" s="10"/>
      <c r="K78" s="10"/>
      <c r="L78" s="10"/>
      <c r="M78" s="10"/>
      <c r="N78" s="10"/>
      <c r="O78" s="7">
        <v>20</v>
      </c>
      <c r="P78" s="7"/>
      <c r="Q78" s="7"/>
      <c r="AB78" s="7"/>
    </row>
    <row r="79" spans="1:28" ht="409.6" x14ac:dyDescent="0.15">
      <c r="A79">
        <f t="shared" si="0"/>
        <v>0</v>
      </c>
      <c r="B79" s="1" t="s">
        <v>302</v>
      </c>
      <c r="C79" s="7" t="s">
        <v>357</v>
      </c>
      <c r="D79" s="7" t="s">
        <v>358</v>
      </c>
      <c r="E79" s="7" t="s">
        <v>359</v>
      </c>
      <c r="F79" s="9" t="s">
        <v>360</v>
      </c>
      <c r="G79" s="1" t="s">
        <v>361</v>
      </c>
      <c r="H79" s="10"/>
      <c r="I79" s="10"/>
      <c r="J79" s="10"/>
      <c r="K79" s="10"/>
      <c r="L79" s="10">
        <v>12</v>
      </c>
      <c r="M79" s="10">
        <v>12</v>
      </c>
      <c r="N79" s="10"/>
      <c r="O79" s="7">
        <v>25</v>
      </c>
      <c r="P79" s="7"/>
      <c r="Q79" s="7"/>
      <c r="AB79" s="7"/>
    </row>
    <row r="80" spans="1:28" ht="84" x14ac:dyDescent="0.15">
      <c r="A80">
        <f t="shared" si="0"/>
        <v>0</v>
      </c>
      <c r="B80" s="1" t="s">
        <v>302</v>
      </c>
      <c r="C80" s="7" t="s">
        <v>362</v>
      </c>
      <c r="D80" s="7" t="s">
        <v>363</v>
      </c>
      <c r="E80" s="7" t="s">
        <v>364</v>
      </c>
      <c r="F80" s="9" t="s">
        <v>365</v>
      </c>
      <c r="G80" s="1" t="s">
        <v>161</v>
      </c>
      <c r="H80" s="10"/>
      <c r="I80" s="10"/>
      <c r="J80" s="10"/>
      <c r="K80" s="10"/>
      <c r="L80" s="10">
        <v>6</v>
      </c>
      <c r="M80" s="10">
        <v>6</v>
      </c>
      <c r="N80" s="10"/>
      <c r="O80" s="7">
        <v>10</v>
      </c>
      <c r="P80" s="7">
        <v>30</v>
      </c>
      <c r="Q80" s="7">
        <v>60</v>
      </c>
      <c r="AB80" s="7"/>
    </row>
    <row r="81" spans="1:28" ht="42" x14ac:dyDescent="0.15">
      <c r="A81">
        <f t="shared" si="0"/>
        <v>0</v>
      </c>
      <c r="B81" s="1" t="s">
        <v>366</v>
      </c>
      <c r="C81" s="7" t="s">
        <v>367</v>
      </c>
      <c r="D81" s="7" t="s">
        <v>368</v>
      </c>
      <c r="E81" s="7" t="s">
        <v>369</v>
      </c>
      <c r="F81" s="9" t="s">
        <v>39</v>
      </c>
      <c r="G81" s="1" t="s">
        <v>370</v>
      </c>
      <c r="H81" s="10"/>
      <c r="I81" s="10"/>
      <c r="J81" s="10"/>
      <c r="K81" s="10"/>
      <c r="L81" s="10"/>
      <c r="M81" s="10"/>
      <c r="N81" s="10"/>
      <c r="O81" s="7">
        <v>15</v>
      </c>
      <c r="P81" s="7"/>
      <c r="Q81" s="7"/>
      <c r="AB81" s="7"/>
    </row>
    <row r="82" spans="1:28" ht="196" x14ac:dyDescent="0.15">
      <c r="A82">
        <f t="shared" si="0"/>
        <v>0</v>
      </c>
      <c r="B82" s="1" t="s">
        <v>302</v>
      </c>
      <c r="C82" s="7" t="s">
        <v>371</v>
      </c>
      <c r="D82" s="7" t="s">
        <v>372</v>
      </c>
      <c r="E82" s="7" t="s">
        <v>373</v>
      </c>
      <c r="F82" s="9" t="s">
        <v>365</v>
      </c>
      <c r="G82" s="1" t="s">
        <v>374</v>
      </c>
      <c r="H82" s="10">
        <v>4</v>
      </c>
      <c r="I82" s="10"/>
      <c r="J82" s="10"/>
      <c r="K82" s="10"/>
      <c r="L82" s="10"/>
      <c r="M82" s="10">
        <v>4</v>
      </c>
      <c r="N82" s="10"/>
      <c r="O82" s="7">
        <v>10</v>
      </c>
      <c r="P82" s="7">
        <v>30</v>
      </c>
      <c r="Q82" s="7">
        <v>60</v>
      </c>
      <c r="AB82" s="7"/>
    </row>
    <row r="83" spans="1:28" ht="28" x14ac:dyDescent="0.15">
      <c r="A83">
        <f t="shared" si="0"/>
        <v>0</v>
      </c>
      <c r="B83" s="1" t="s">
        <v>302</v>
      </c>
      <c r="C83" s="7" t="s">
        <v>375</v>
      </c>
      <c r="D83" s="7" t="s">
        <v>376</v>
      </c>
      <c r="E83" s="7" t="s">
        <v>377</v>
      </c>
      <c r="F83" s="9" t="s">
        <v>107</v>
      </c>
      <c r="G83" s="1" t="s">
        <v>378</v>
      </c>
      <c r="H83" s="10"/>
      <c r="I83" s="10"/>
      <c r="J83" s="10"/>
      <c r="K83" s="10">
        <v>6</v>
      </c>
      <c r="L83" s="10"/>
      <c r="M83" s="10">
        <v>6</v>
      </c>
      <c r="N83" s="10"/>
      <c r="O83" s="7">
        <v>20</v>
      </c>
      <c r="P83" s="7"/>
      <c r="Q83" s="7"/>
      <c r="AB83" s="7"/>
    </row>
    <row r="84" spans="1:28" ht="112" x14ac:dyDescent="0.15">
      <c r="A84">
        <f t="shared" si="0"/>
        <v>0</v>
      </c>
      <c r="B84" s="1" t="s">
        <v>302</v>
      </c>
      <c r="C84" s="7" t="s">
        <v>379</v>
      </c>
      <c r="D84" s="7" t="s">
        <v>380</v>
      </c>
      <c r="E84" s="7" t="s">
        <v>381</v>
      </c>
      <c r="F84" s="9" t="s">
        <v>365</v>
      </c>
      <c r="G84" s="1" t="s">
        <v>134</v>
      </c>
      <c r="H84" s="10"/>
      <c r="I84" s="10"/>
      <c r="J84" s="10"/>
      <c r="K84" s="10">
        <v>3</v>
      </c>
      <c r="L84" s="10">
        <v>3</v>
      </c>
      <c r="M84" s="10">
        <v>6</v>
      </c>
      <c r="N84" s="10"/>
      <c r="O84" s="7">
        <v>10</v>
      </c>
      <c r="P84" s="7">
        <v>30</v>
      </c>
      <c r="Q84" s="7">
        <v>60</v>
      </c>
      <c r="AB84" s="7"/>
    </row>
    <row r="85" spans="1:28" ht="84" x14ac:dyDescent="0.15">
      <c r="A85">
        <f t="shared" si="0"/>
        <v>0</v>
      </c>
      <c r="B85" s="1" t="s">
        <v>302</v>
      </c>
      <c r="C85" s="7" t="s">
        <v>382</v>
      </c>
      <c r="D85" s="7" t="s">
        <v>383</v>
      </c>
      <c r="E85" s="7" t="s">
        <v>384</v>
      </c>
      <c r="F85" s="9" t="s">
        <v>107</v>
      </c>
      <c r="G85" s="1" t="s">
        <v>385</v>
      </c>
      <c r="H85" s="10">
        <v>12</v>
      </c>
      <c r="I85" s="10"/>
      <c r="J85" s="10"/>
      <c r="K85" s="10"/>
      <c r="L85" s="10"/>
      <c r="M85" s="10">
        <v>12</v>
      </c>
      <c r="N85" s="10"/>
      <c r="O85" s="7">
        <v>20</v>
      </c>
      <c r="P85" s="7"/>
      <c r="Q85" s="7"/>
      <c r="AB85" s="7"/>
    </row>
    <row r="86" spans="1:28" ht="28" x14ac:dyDescent="0.15">
      <c r="A86">
        <f t="shared" si="0"/>
        <v>0</v>
      </c>
      <c r="B86" s="1" t="s">
        <v>302</v>
      </c>
      <c r="C86" s="7" t="s">
        <v>386</v>
      </c>
      <c r="D86" s="7" t="s">
        <v>387</v>
      </c>
      <c r="E86" s="7" t="s">
        <v>388</v>
      </c>
      <c r="F86" s="9" t="s">
        <v>389</v>
      </c>
      <c r="G86" s="1" t="s">
        <v>390</v>
      </c>
      <c r="H86" s="10"/>
      <c r="I86" s="10"/>
      <c r="J86" s="10"/>
      <c r="K86" s="10"/>
      <c r="L86" s="10"/>
      <c r="M86" s="10"/>
      <c r="N86" s="10"/>
      <c r="O86" s="7">
        <v>60</v>
      </c>
      <c r="P86" s="7"/>
      <c r="Q86" s="7"/>
      <c r="AB86" s="7"/>
    </row>
    <row r="87" spans="1:28" ht="98" x14ac:dyDescent="0.15">
      <c r="A87">
        <f t="shared" si="0"/>
        <v>0</v>
      </c>
      <c r="B87" s="1" t="s">
        <v>302</v>
      </c>
      <c r="C87" s="7" t="s">
        <v>391</v>
      </c>
      <c r="D87" s="7" t="s">
        <v>392</v>
      </c>
      <c r="E87" s="7" t="s">
        <v>393</v>
      </c>
      <c r="F87" s="9" t="s">
        <v>185</v>
      </c>
      <c r="G87" s="1" t="s">
        <v>394</v>
      </c>
      <c r="H87" s="10"/>
      <c r="I87" s="10">
        <v>14</v>
      </c>
      <c r="J87" s="10"/>
      <c r="K87" s="10"/>
      <c r="L87" s="10"/>
      <c r="M87" s="10">
        <v>14</v>
      </c>
      <c r="N87" s="10"/>
      <c r="O87" s="7">
        <v>30</v>
      </c>
      <c r="P87" s="7"/>
      <c r="Q87" s="7"/>
      <c r="AB87" s="7"/>
    </row>
    <row r="88" spans="1:28" ht="84" x14ac:dyDescent="0.15">
      <c r="A88">
        <f t="shared" si="0"/>
        <v>0</v>
      </c>
      <c r="B88" s="1" t="s">
        <v>302</v>
      </c>
      <c r="C88" s="1" t="s">
        <v>395</v>
      </c>
      <c r="D88" s="7" t="s">
        <v>396</v>
      </c>
      <c r="E88" s="7" t="s">
        <v>397</v>
      </c>
      <c r="F88" s="9" t="s">
        <v>235</v>
      </c>
      <c r="G88" s="1" t="s">
        <v>398</v>
      </c>
      <c r="H88" s="10">
        <v>4</v>
      </c>
      <c r="I88" s="10"/>
      <c r="J88" s="10"/>
      <c r="K88" s="10"/>
      <c r="L88" s="10"/>
      <c r="M88" s="10">
        <v>4</v>
      </c>
      <c r="N88" s="10"/>
      <c r="O88" s="7">
        <v>5</v>
      </c>
      <c r="P88" s="7"/>
      <c r="Q88" s="7"/>
      <c r="AB88" s="7"/>
    </row>
    <row r="89" spans="1:28" ht="56" x14ac:dyDescent="0.15">
      <c r="A89">
        <f t="shared" si="0"/>
        <v>0</v>
      </c>
      <c r="B89" s="1" t="s">
        <v>302</v>
      </c>
      <c r="C89" s="7" t="s">
        <v>399</v>
      </c>
      <c r="D89" s="7" t="s">
        <v>400</v>
      </c>
      <c r="E89" s="7" t="s">
        <v>401</v>
      </c>
      <c r="F89" s="9" t="s">
        <v>235</v>
      </c>
      <c r="G89" s="1" t="s">
        <v>402</v>
      </c>
      <c r="H89" s="10"/>
      <c r="I89" s="10">
        <v>6</v>
      </c>
      <c r="J89" s="10"/>
      <c r="K89" s="10"/>
      <c r="L89" s="10"/>
      <c r="M89" s="10">
        <v>6</v>
      </c>
      <c r="N89" s="10"/>
      <c r="O89" s="7">
        <v>5</v>
      </c>
      <c r="P89" s="7"/>
      <c r="Q89" s="7"/>
      <c r="AB89" s="7"/>
    </row>
    <row r="90" spans="1:28" ht="112" x14ac:dyDescent="0.15">
      <c r="A90">
        <f t="shared" si="0"/>
        <v>0</v>
      </c>
      <c r="B90" s="1" t="s">
        <v>302</v>
      </c>
      <c r="C90" s="7" t="s">
        <v>403</v>
      </c>
      <c r="D90" s="7" t="s">
        <v>404</v>
      </c>
      <c r="E90" s="7" t="s">
        <v>405</v>
      </c>
      <c r="F90" s="9" t="s">
        <v>365</v>
      </c>
      <c r="G90" s="1" t="s">
        <v>406</v>
      </c>
      <c r="H90" s="10"/>
      <c r="I90" s="10"/>
      <c r="J90" s="10"/>
      <c r="K90" s="10">
        <v>6</v>
      </c>
      <c r="L90" s="10">
        <v>6</v>
      </c>
      <c r="M90" s="10">
        <v>6</v>
      </c>
      <c r="N90" s="10"/>
      <c r="O90" s="7">
        <v>10</v>
      </c>
      <c r="P90" s="7">
        <v>30</v>
      </c>
      <c r="Q90" s="7">
        <v>60</v>
      </c>
      <c r="AB90" s="7"/>
    </row>
    <row r="91" spans="1:28" ht="42" x14ac:dyDescent="0.15">
      <c r="A91">
        <f t="shared" si="0"/>
        <v>0</v>
      </c>
      <c r="B91" s="1" t="s">
        <v>302</v>
      </c>
      <c r="C91" s="7" t="s">
        <v>407</v>
      </c>
      <c r="D91" s="7" t="s">
        <v>408</v>
      </c>
      <c r="E91" s="7" t="s">
        <v>409</v>
      </c>
      <c r="F91" s="9" t="s">
        <v>107</v>
      </c>
      <c r="G91" s="1" t="s">
        <v>410</v>
      </c>
      <c r="H91" s="10">
        <v>8</v>
      </c>
      <c r="I91" s="10"/>
      <c r="J91" s="10"/>
      <c r="K91" s="10">
        <v>8</v>
      </c>
      <c r="L91" s="10"/>
      <c r="M91" s="10">
        <v>8</v>
      </c>
      <c r="N91" s="10"/>
      <c r="O91" s="7">
        <v>20</v>
      </c>
      <c r="P91" s="7"/>
      <c r="Q91" s="7"/>
      <c r="AB91" s="7"/>
    </row>
    <row r="92" spans="1:28" ht="210" x14ac:dyDescent="0.15">
      <c r="A92">
        <f t="shared" si="0"/>
        <v>0</v>
      </c>
      <c r="B92" s="1" t="s">
        <v>302</v>
      </c>
      <c r="C92" s="7" t="s">
        <v>411</v>
      </c>
      <c r="D92" s="7" t="s">
        <v>412</v>
      </c>
      <c r="E92" s="7" t="s">
        <v>413</v>
      </c>
      <c r="F92" s="9" t="s">
        <v>112</v>
      </c>
      <c r="G92" s="1" t="s">
        <v>414</v>
      </c>
      <c r="H92" s="10"/>
      <c r="I92" s="10"/>
      <c r="J92" s="10"/>
      <c r="K92" s="10"/>
      <c r="L92" s="10"/>
      <c r="M92" s="10"/>
      <c r="N92" s="10"/>
      <c r="O92" s="7">
        <v>40</v>
      </c>
      <c r="P92" s="7"/>
      <c r="Q92" s="7"/>
      <c r="AB92" s="7"/>
    </row>
    <row r="93" spans="1:28" ht="98" x14ac:dyDescent="0.15">
      <c r="A93">
        <f t="shared" si="0"/>
        <v>0</v>
      </c>
      <c r="B93" s="1" t="s">
        <v>302</v>
      </c>
      <c r="C93" s="7" t="s">
        <v>415</v>
      </c>
      <c r="D93" s="7" t="s">
        <v>416</v>
      </c>
      <c r="E93" s="7" t="s">
        <v>417</v>
      </c>
      <c r="F93" s="9" t="s">
        <v>418</v>
      </c>
      <c r="G93" s="1" t="s">
        <v>419</v>
      </c>
      <c r="H93" s="10"/>
      <c r="I93" s="10"/>
      <c r="J93" s="10"/>
      <c r="K93" s="10">
        <v>4</v>
      </c>
      <c r="L93" s="10"/>
      <c r="M93" s="10">
        <v>4</v>
      </c>
      <c r="N93" s="10"/>
      <c r="O93" s="7">
        <v>5</v>
      </c>
      <c r="P93" s="7">
        <v>20</v>
      </c>
      <c r="Q93" s="7"/>
      <c r="AB93" s="7"/>
    </row>
    <row r="94" spans="1:28" ht="98" x14ac:dyDescent="0.15">
      <c r="A94">
        <f t="shared" si="0"/>
        <v>0</v>
      </c>
      <c r="B94" s="7" t="s">
        <v>302</v>
      </c>
      <c r="C94" s="1" t="s">
        <v>420</v>
      </c>
      <c r="D94" s="7" t="s">
        <v>421</v>
      </c>
      <c r="E94" s="7" t="s">
        <v>422</v>
      </c>
      <c r="F94" s="9" t="s">
        <v>423</v>
      </c>
      <c r="G94" s="1" t="s">
        <v>424</v>
      </c>
      <c r="H94" s="10">
        <v>14</v>
      </c>
      <c r="I94" s="10"/>
      <c r="J94" s="10"/>
      <c r="K94" s="10">
        <v>14</v>
      </c>
      <c r="L94" s="10"/>
      <c r="M94" s="10">
        <v>14</v>
      </c>
      <c r="N94" s="10"/>
      <c r="O94" s="7">
        <v>20</v>
      </c>
      <c r="P94" s="7">
        <v>60</v>
      </c>
      <c r="Q94" s="7"/>
      <c r="AB94" s="7"/>
    </row>
    <row r="95" spans="1:28" ht="56" x14ac:dyDescent="0.15">
      <c r="A95">
        <f t="shared" si="0"/>
        <v>0</v>
      </c>
      <c r="B95" s="1" t="s">
        <v>302</v>
      </c>
      <c r="C95" s="7" t="s">
        <v>425</v>
      </c>
      <c r="D95" s="7" t="s">
        <v>426</v>
      </c>
      <c r="E95" s="7" t="s">
        <v>427</v>
      </c>
      <c r="F95" s="9" t="s">
        <v>423</v>
      </c>
      <c r="G95" s="1" t="s">
        <v>428</v>
      </c>
      <c r="H95" s="10"/>
      <c r="I95" s="10"/>
      <c r="J95" s="10"/>
      <c r="K95" s="10">
        <v>12</v>
      </c>
      <c r="L95" s="10"/>
      <c r="M95" s="10">
        <v>12</v>
      </c>
      <c r="N95" s="10"/>
      <c r="O95" s="7">
        <v>20</v>
      </c>
      <c r="P95" s="7">
        <v>60</v>
      </c>
      <c r="Q95" s="7"/>
      <c r="AB95" s="7"/>
    </row>
    <row r="96" spans="1:28" ht="168" x14ac:dyDescent="0.15">
      <c r="A96">
        <f t="shared" si="0"/>
        <v>0</v>
      </c>
      <c r="B96" s="1" t="s">
        <v>302</v>
      </c>
      <c r="C96" s="7" t="s">
        <v>429</v>
      </c>
      <c r="D96" s="7" t="s">
        <v>430</v>
      </c>
      <c r="E96" s="7" t="s">
        <v>431</v>
      </c>
      <c r="F96" s="9" t="s">
        <v>27</v>
      </c>
      <c r="G96" s="1" t="s">
        <v>432</v>
      </c>
      <c r="H96" s="10"/>
      <c r="I96" s="10"/>
      <c r="J96" s="10">
        <v>3</v>
      </c>
      <c r="K96" s="10"/>
      <c r="L96" s="10">
        <v>3</v>
      </c>
      <c r="M96" s="10">
        <v>6</v>
      </c>
      <c r="N96" s="10"/>
      <c r="O96" s="7">
        <v>10</v>
      </c>
      <c r="P96" s="7"/>
      <c r="Q96" s="7"/>
      <c r="AB96" s="7"/>
    </row>
    <row r="97" spans="1:31" ht="70" x14ac:dyDescent="0.15">
      <c r="A97">
        <f t="shared" si="0"/>
        <v>0</v>
      </c>
      <c r="B97" s="16" t="s">
        <v>302</v>
      </c>
      <c r="C97" s="16" t="s">
        <v>433</v>
      </c>
      <c r="D97" s="16" t="s">
        <v>434</v>
      </c>
      <c r="E97" s="16" t="s">
        <v>435</v>
      </c>
      <c r="F97" s="9" t="s">
        <v>107</v>
      </c>
      <c r="G97" s="1" t="s">
        <v>436</v>
      </c>
      <c r="H97" s="20"/>
      <c r="I97" s="20"/>
      <c r="J97" s="20"/>
      <c r="K97" s="20"/>
      <c r="L97" s="20"/>
      <c r="M97" s="20"/>
      <c r="N97" s="20"/>
      <c r="O97" s="19">
        <v>20</v>
      </c>
      <c r="P97" s="19"/>
      <c r="Q97" s="7"/>
      <c r="AB97" s="7"/>
    </row>
    <row r="98" spans="1:31" ht="112" x14ac:dyDescent="0.15">
      <c r="A98">
        <f t="shared" si="0"/>
        <v>0</v>
      </c>
      <c r="B98" s="1" t="s">
        <v>302</v>
      </c>
      <c r="C98" s="7" t="s">
        <v>437</v>
      </c>
      <c r="D98" s="7" t="s">
        <v>438</v>
      </c>
      <c r="E98" s="7" t="s">
        <v>439</v>
      </c>
      <c r="F98" s="9" t="s">
        <v>185</v>
      </c>
      <c r="G98" s="1" t="s">
        <v>440</v>
      </c>
      <c r="H98" s="10"/>
      <c r="I98" s="10"/>
      <c r="J98" s="10"/>
      <c r="K98" s="10"/>
      <c r="L98" s="10"/>
      <c r="M98" s="10"/>
      <c r="N98" s="10"/>
      <c r="O98" s="7">
        <v>30</v>
      </c>
      <c r="P98" s="7"/>
      <c r="Q98" s="7"/>
      <c r="AB98" s="7"/>
    </row>
    <row r="99" spans="1:31" ht="98" x14ac:dyDescent="0.15">
      <c r="A99">
        <f t="shared" si="0"/>
        <v>0</v>
      </c>
      <c r="B99" s="1" t="s">
        <v>302</v>
      </c>
      <c r="C99" s="7" t="s">
        <v>441</v>
      </c>
      <c r="D99" s="7" t="s">
        <v>442</v>
      </c>
      <c r="E99" s="7" t="s">
        <v>443</v>
      </c>
      <c r="F99" s="9" t="s">
        <v>444</v>
      </c>
      <c r="G99" s="1" t="s">
        <v>445</v>
      </c>
      <c r="H99" s="10"/>
      <c r="I99" s="10"/>
      <c r="J99" s="10"/>
      <c r="K99" s="10"/>
      <c r="L99" s="10"/>
      <c r="M99" s="10"/>
      <c r="N99" s="10"/>
      <c r="O99" s="7">
        <v>15</v>
      </c>
      <c r="P99" s="7">
        <v>40</v>
      </c>
      <c r="Q99" s="7"/>
      <c r="AB99" s="7"/>
    </row>
    <row r="100" spans="1:31" ht="70" x14ac:dyDescent="0.15">
      <c r="A100">
        <f t="shared" si="0"/>
        <v>0</v>
      </c>
      <c r="B100" s="1" t="s">
        <v>302</v>
      </c>
      <c r="C100" s="7" t="s">
        <v>446</v>
      </c>
      <c r="D100" s="7" t="s">
        <v>447</v>
      </c>
      <c r="E100" s="7" t="s">
        <v>448</v>
      </c>
      <c r="F100" s="9" t="s">
        <v>449</v>
      </c>
      <c r="G100" s="1" t="s">
        <v>450</v>
      </c>
      <c r="H100" s="10"/>
      <c r="I100" s="10"/>
      <c r="J100" s="10"/>
      <c r="K100" s="10"/>
      <c r="L100" s="10"/>
      <c r="M100" s="10"/>
      <c r="N100" s="10"/>
      <c r="O100" s="7">
        <v>10</v>
      </c>
      <c r="P100" s="7">
        <v>70</v>
      </c>
      <c r="Q100" s="7"/>
      <c r="AB100" s="7"/>
    </row>
    <row r="101" spans="1:31" ht="70" x14ac:dyDescent="0.15">
      <c r="A101">
        <f t="shared" si="0"/>
        <v>0</v>
      </c>
      <c r="B101" s="1" t="s">
        <v>302</v>
      </c>
      <c r="C101" s="7" t="s">
        <v>451</v>
      </c>
      <c r="D101" s="7" t="s">
        <v>452</v>
      </c>
      <c r="E101" s="7" t="s">
        <v>453</v>
      </c>
      <c r="F101" s="9" t="s">
        <v>235</v>
      </c>
      <c r="G101" s="1" t="s">
        <v>454</v>
      </c>
      <c r="H101" s="10"/>
      <c r="I101" s="10"/>
      <c r="J101" s="10"/>
      <c r="K101" s="10">
        <v>4</v>
      </c>
      <c r="L101" s="10">
        <v>4</v>
      </c>
      <c r="M101" s="10">
        <v>4</v>
      </c>
      <c r="N101" s="10"/>
      <c r="O101" s="7">
        <v>5</v>
      </c>
      <c r="P101" s="7"/>
      <c r="Q101" s="7"/>
      <c r="AB101" s="7"/>
    </row>
    <row r="102" spans="1:31" ht="84" x14ac:dyDescent="0.15">
      <c r="A102">
        <f t="shared" si="0"/>
        <v>0</v>
      </c>
      <c r="B102" s="1" t="s">
        <v>302</v>
      </c>
      <c r="C102" s="7" t="s">
        <v>455</v>
      </c>
      <c r="D102" s="7" t="s">
        <v>456</v>
      </c>
      <c r="E102" s="7" t="s">
        <v>457</v>
      </c>
      <c r="F102" s="9" t="s">
        <v>360</v>
      </c>
      <c r="G102" s="1" t="s">
        <v>458</v>
      </c>
      <c r="H102" s="10">
        <v>12</v>
      </c>
      <c r="I102" s="10">
        <v>12</v>
      </c>
      <c r="J102" s="10">
        <v>12</v>
      </c>
      <c r="K102" s="10">
        <v>12</v>
      </c>
      <c r="L102" s="10">
        <v>12</v>
      </c>
      <c r="M102" s="10">
        <v>12</v>
      </c>
      <c r="N102" s="10"/>
      <c r="O102" s="7">
        <v>25</v>
      </c>
      <c r="P102" s="7"/>
      <c r="Q102" s="7"/>
      <c r="AB102" s="7"/>
    </row>
    <row r="103" spans="1:31" ht="70" x14ac:dyDescent="0.15">
      <c r="A103">
        <f t="shared" si="0"/>
        <v>0</v>
      </c>
      <c r="B103" s="1" t="s">
        <v>302</v>
      </c>
      <c r="C103" s="7" t="s">
        <v>459</v>
      </c>
      <c r="D103" s="7" t="s">
        <v>460</v>
      </c>
      <c r="E103" s="7" t="s">
        <v>461</v>
      </c>
      <c r="F103" s="9" t="s">
        <v>235</v>
      </c>
      <c r="G103" s="1" t="s">
        <v>462</v>
      </c>
      <c r="H103" s="10"/>
      <c r="I103" s="10"/>
      <c r="J103" s="10"/>
      <c r="K103" s="10"/>
      <c r="L103" s="10"/>
      <c r="M103" s="10"/>
      <c r="N103" s="10"/>
      <c r="O103" s="7">
        <v>5</v>
      </c>
      <c r="P103" s="7"/>
      <c r="Q103" s="7"/>
      <c r="AB103" s="7"/>
    </row>
    <row r="104" spans="1:31" ht="84" x14ac:dyDescent="0.15">
      <c r="A104" s="12">
        <f t="shared" si="0"/>
        <v>0</v>
      </c>
      <c r="B104" s="12" t="s">
        <v>302</v>
      </c>
      <c r="C104" s="13" t="s">
        <v>463</v>
      </c>
      <c r="D104" s="13" t="s">
        <v>464</v>
      </c>
      <c r="E104" s="13" t="s">
        <v>465</v>
      </c>
      <c r="F104" s="14" t="s">
        <v>27</v>
      </c>
      <c r="G104" s="12" t="s">
        <v>466</v>
      </c>
      <c r="H104" s="15"/>
      <c r="I104" s="15"/>
      <c r="J104" s="15"/>
      <c r="K104" s="15"/>
      <c r="L104" s="15">
        <v>8</v>
      </c>
      <c r="M104" s="15">
        <v>8</v>
      </c>
      <c r="N104" s="15"/>
      <c r="O104" s="13">
        <v>10</v>
      </c>
      <c r="P104" s="13"/>
      <c r="Q104" s="13"/>
      <c r="R104" s="12"/>
      <c r="S104" s="12"/>
      <c r="T104" s="12"/>
      <c r="U104" s="12"/>
      <c r="V104" s="12"/>
      <c r="W104" s="12"/>
      <c r="X104" s="12"/>
      <c r="Y104" s="12"/>
      <c r="Z104" s="12"/>
      <c r="AA104" s="12"/>
      <c r="AB104" s="13"/>
      <c r="AC104" s="12"/>
      <c r="AD104" s="12"/>
      <c r="AE104" s="12"/>
    </row>
    <row r="105" spans="1:31" ht="56" x14ac:dyDescent="0.15">
      <c r="A105">
        <f t="shared" si="0"/>
        <v>0</v>
      </c>
      <c r="B105" s="1" t="s">
        <v>302</v>
      </c>
      <c r="C105" s="7" t="s">
        <v>467</v>
      </c>
      <c r="D105" s="7" t="s">
        <v>468</v>
      </c>
      <c r="E105" s="7" t="s">
        <v>469</v>
      </c>
      <c r="F105" s="9" t="s">
        <v>27</v>
      </c>
      <c r="G105" s="1" t="s">
        <v>108</v>
      </c>
      <c r="H105" s="10"/>
      <c r="I105" s="10"/>
      <c r="J105" s="10"/>
      <c r="K105" s="10"/>
      <c r="L105" s="10"/>
      <c r="M105" s="10"/>
      <c r="N105" s="10"/>
      <c r="O105" s="7">
        <v>10</v>
      </c>
      <c r="P105" s="7"/>
      <c r="Q105" s="7"/>
      <c r="AB105" s="7"/>
    </row>
    <row r="106" spans="1:31" ht="28" x14ac:dyDescent="0.15">
      <c r="A106">
        <f t="shared" si="0"/>
        <v>0</v>
      </c>
      <c r="B106" s="1" t="s">
        <v>302</v>
      </c>
      <c r="C106" s="7" t="s">
        <v>470</v>
      </c>
      <c r="D106" s="7" t="s">
        <v>471</v>
      </c>
      <c r="E106" s="7" t="s">
        <v>472</v>
      </c>
      <c r="F106" s="9" t="s">
        <v>235</v>
      </c>
      <c r="G106" s="1" t="s">
        <v>473</v>
      </c>
      <c r="H106" s="10"/>
      <c r="I106" s="10"/>
      <c r="J106" s="10">
        <v>4</v>
      </c>
      <c r="K106" s="10"/>
      <c r="L106" s="10"/>
      <c r="M106" s="10">
        <v>4</v>
      </c>
      <c r="N106" s="10"/>
      <c r="O106" s="7">
        <v>5</v>
      </c>
      <c r="P106" s="7"/>
      <c r="Q106" s="7"/>
      <c r="AB106" s="7"/>
    </row>
    <row r="107" spans="1:31" ht="70" x14ac:dyDescent="0.15">
      <c r="A107">
        <f t="shared" si="0"/>
        <v>0</v>
      </c>
      <c r="B107" s="1" t="s">
        <v>302</v>
      </c>
      <c r="C107" s="7" t="s">
        <v>474</v>
      </c>
      <c r="D107" s="7" t="s">
        <v>475</v>
      </c>
      <c r="E107" s="7" t="s">
        <v>476</v>
      </c>
      <c r="F107" s="9" t="s">
        <v>185</v>
      </c>
      <c r="G107" s="1" t="s">
        <v>186</v>
      </c>
      <c r="H107" s="10">
        <v>6</v>
      </c>
      <c r="I107" s="10"/>
      <c r="J107" s="10"/>
      <c r="K107" s="10"/>
      <c r="L107" s="10"/>
      <c r="M107" s="10">
        <v>6</v>
      </c>
      <c r="N107" s="10"/>
      <c r="O107" s="7">
        <v>30</v>
      </c>
      <c r="P107" s="7"/>
      <c r="Q107" s="7"/>
      <c r="AB107" s="7"/>
    </row>
    <row r="108" spans="1:31" ht="112" x14ac:dyDescent="0.15">
      <c r="A108">
        <f t="shared" si="0"/>
        <v>0</v>
      </c>
      <c r="B108" s="1" t="s">
        <v>302</v>
      </c>
      <c r="C108" s="7" t="s">
        <v>477</v>
      </c>
      <c r="D108" s="7" t="s">
        <v>478</v>
      </c>
      <c r="E108" s="7" t="s">
        <v>479</v>
      </c>
      <c r="F108" s="9" t="s">
        <v>235</v>
      </c>
      <c r="G108" s="1" t="s">
        <v>480</v>
      </c>
      <c r="H108" s="10">
        <v>4</v>
      </c>
      <c r="I108" s="10">
        <v>4</v>
      </c>
      <c r="J108" s="10"/>
      <c r="K108" s="10"/>
      <c r="L108" s="10"/>
      <c r="M108" s="10">
        <v>4</v>
      </c>
      <c r="N108" s="10"/>
      <c r="O108" s="7">
        <v>5</v>
      </c>
      <c r="P108" s="7"/>
      <c r="Q108" s="7"/>
      <c r="AB108" s="7"/>
    </row>
    <row r="109" spans="1:31" ht="196" x14ac:dyDescent="0.15">
      <c r="A109">
        <f t="shared" si="0"/>
        <v>0</v>
      </c>
      <c r="B109" s="1" t="s">
        <v>302</v>
      </c>
      <c r="C109" s="7" t="s">
        <v>481</v>
      </c>
      <c r="D109" s="7" t="s">
        <v>482</v>
      </c>
      <c r="E109" s="7" t="s">
        <v>483</v>
      </c>
      <c r="F109" s="9" t="s">
        <v>112</v>
      </c>
      <c r="G109" s="1" t="s">
        <v>484</v>
      </c>
      <c r="H109" s="10"/>
      <c r="I109" s="10"/>
      <c r="J109" s="10"/>
      <c r="K109" s="10"/>
      <c r="L109" s="10"/>
      <c r="M109" s="10"/>
      <c r="N109" s="10"/>
      <c r="O109" s="7">
        <v>40</v>
      </c>
      <c r="P109" s="7"/>
      <c r="Q109" s="7"/>
      <c r="AB109" s="7"/>
    </row>
    <row r="110" spans="1:31" ht="154" x14ac:dyDescent="0.15">
      <c r="A110">
        <f t="shared" si="0"/>
        <v>0</v>
      </c>
      <c r="B110" s="7" t="s">
        <v>302</v>
      </c>
      <c r="C110" s="1" t="s">
        <v>485</v>
      </c>
      <c r="D110" s="7" t="s">
        <v>486</v>
      </c>
      <c r="E110" s="7" t="s">
        <v>487</v>
      </c>
      <c r="F110" s="9" t="s">
        <v>235</v>
      </c>
      <c r="G110" s="1" t="s">
        <v>488</v>
      </c>
      <c r="H110" s="10"/>
      <c r="I110" s="10"/>
      <c r="J110" s="10"/>
      <c r="K110" s="10"/>
      <c r="L110" s="10">
        <v>6</v>
      </c>
      <c r="M110" s="10">
        <v>6</v>
      </c>
      <c r="N110" s="10"/>
      <c r="O110" s="7">
        <v>5</v>
      </c>
      <c r="P110" s="7"/>
      <c r="Q110" s="7"/>
      <c r="AB110" s="7"/>
    </row>
    <row r="111" spans="1:31" ht="98" x14ac:dyDescent="0.15">
      <c r="A111">
        <f t="shared" si="0"/>
        <v>0</v>
      </c>
      <c r="B111" s="1" t="s">
        <v>302</v>
      </c>
      <c r="C111" s="7" t="s">
        <v>489</v>
      </c>
      <c r="D111" s="7" t="s">
        <v>489</v>
      </c>
      <c r="E111" s="7" t="s">
        <v>490</v>
      </c>
      <c r="F111" s="9" t="s">
        <v>127</v>
      </c>
      <c r="G111" s="1" t="s">
        <v>491</v>
      </c>
      <c r="H111" s="10"/>
      <c r="I111" s="10"/>
      <c r="J111" s="10"/>
      <c r="K111" s="10"/>
      <c r="L111" s="10"/>
      <c r="M111" s="10"/>
      <c r="N111" s="10"/>
      <c r="O111" s="7">
        <v>50</v>
      </c>
      <c r="P111" s="7"/>
      <c r="Q111" s="7"/>
      <c r="AB111" s="7"/>
    </row>
    <row r="112" spans="1:31" ht="28" x14ac:dyDescent="0.15">
      <c r="A112">
        <f t="shared" si="0"/>
        <v>0</v>
      </c>
      <c r="B112" s="1" t="s">
        <v>302</v>
      </c>
      <c r="C112" s="7" t="s">
        <v>492</v>
      </c>
      <c r="D112" s="7" t="s">
        <v>493</v>
      </c>
      <c r="E112" s="7" t="s">
        <v>494</v>
      </c>
      <c r="F112" s="9" t="s">
        <v>495</v>
      </c>
      <c r="G112" s="1" t="s">
        <v>374</v>
      </c>
      <c r="H112" s="10"/>
      <c r="I112" s="10"/>
      <c r="J112" s="10"/>
      <c r="K112" s="10"/>
      <c r="L112" s="10"/>
      <c r="M112" s="10"/>
      <c r="N112" s="10"/>
      <c r="O112" s="7">
        <v>20</v>
      </c>
      <c r="P112" s="7">
        <v>25</v>
      </c>
      <c r="Q112" s="7">
        <v>45</v>
      </c>
      <c r="AB112" s="7"/>
    </row>
    <row r="113" spans="1:28" ht="42" x14ac:dyDescent="0.15">
      <c r="A113">
        <f t="shared" si="0"/>
        <v>0</v>
      </c>
      <c r="B113" s="1" t="s">
        <v>302</v>
      </c>
      <c r="C113" s="7" t="s">
        <v>496</v>
      </c>
      <c r="D113" s="7" t="s">
        <v>497</v>
      </c>
      <c r="E113" s="7" t="s">
        <v>498</v>
      </c>
      <c r="F113" s="9" t="s">
        <v>112</v>
      </c>
      <c r="G113" s="1" t="s">
        <v>394</v>
      </c>
      <c r="H113" s="10"/>
      <c r="I113" s="10">
        <v>8</v>
      </c>
      <c r="J113" s="10"/>
      <c r="K113" s="10"/>
      <c r="L113" s="10"/>
      <c r="M113" s="10">
        <v>8</v>
      </c>
      <c r="N113" s="10"/>
      <c r="O113" s="7">
        <v>40</v>
      </c>
      <c r="P113" s="7"/>
      <c r="Q113" s="7"/>
      <c r="AB113" s="7"/>
    </row>
    <row r="114" spans="1:28" ht="42" x14ac:dyDescent="0.15">
      <c r="A114">
        <f t="shared" si="0"/>
        <v>0</v>
      </c>
      <c r="B114" s="1" t="s">
        <v>302</v>
      </c>
      <c r="C114" s="7" t="s">
        <v>499</v>
      </c>
      <c r="D114" s="7" t="s">
        <v>500</v>
      </c>
      <c r="E114" s="7" t="s">
        <v>500</v>
      </c>
      <c r="F114" s="9" t="s">
        <v>50</v>
      </c>
      <c r="G114" s="1" t="s">
        <v>501</v>
      </c>
      <c r="H114" s="10"/>
      <c r="I114" s="10">
        <v>20</v>
      </c>
      <c r="J114" s="10"/>
      <c r="K114" s="10"/>
      <c r="L114" s="10"/>
      <c r="M114" s="10">
        <v>20</v>
      </c>
      <c r="N114" s="10"/>
      <c r="O114" s="7">
        <v>100</v>
      </c>
      <c r="P114" s="7"/>
      <c r="Q114" s="7"/>
      <c r="AB114" s="7"/>
    </row>
    <row r="115" spans="1:28" ht="42" x14ac:dyDescent="0.15">
      <c r="A115">
        <f t="shared" si="0"/>
        <v>0</v>
      </c>
      <c r="B115" s="1" t="s">
        <v>302</v>
      </c>
      <c r="C115" s="7" t="s">
        <v>502</v>
      </c>
      <c r="D115" s="7" t="s">
        <v>503</v>
      </c>
      <c r="E115" s="7" t="s">
        <v>504</v>
      </c>
      <c r="F115" s="9" t="s">
        <v>107</v>
      </c>
      <c r="G115" s="1" t="s">
        <v>244</v>
      </c>
      <c r="H115" s="10"/>
      <c r="I115" s="10"/>
      <c r="J115" s="10">
        <v>6</v>
      </c>
      <c r="K115" s="10"/>
      <c r="L115" s="10"/>
      <c r="M115" s="10">
        <v>6</v>
      </c>
      <c r="N115" s="10"/>
      <c r="O115" s="7">
        <v>20</v>
      </c>
      <c r="P115" s="7"/>
      <c r="Q115" s="7"/>
      <c r="AB115" s="7"/>
    </row>
    <row r="116" spans="1:28" ht="42" x14ac:dyDescent="0.15">
      <c r="A116">
        <f t="shared" si="0"/>
        <v>0</v>
      </c>
      <c r="B116" s="1" t="s">
        <v>302</v>
      </c>
      <c r="C116" s="7" t="s">
        <v>505</v>
      </c>
      <c r="D116" s="7" t="s">
        <v>506</v>
      </c>
      <c r="E116" s="7" t="s">
        <v>507</v>
      </c>
      <c r="F116" s="9" t="s">
        <v>235</v>
      </c>
      <c r="G116" s="1" t="s">
        <v>508</v>
      </c>
      <c r="H116" s="10">
        <v>6</v>
      </c>
      <c r="I116" s="10"/>
      <c r="J116" s="10"/>
      <c r="K116" s="10">
        <v>6</v>
      </c>
      <c r="L116" s="10"/>
      <c r="M116" s="10">
        <v>6</v>
      </c>
      <c r="N116" s="10"/>
      <c r="O116" s="7">
        <v>5</v>
      </c>
      <c r="P116" s="7"/>
      <c r="Q116" s="7"/>
      <c r="AB116" s="7"/>
    </row>
    <row r="117" spans="1:28" ht="42" x14ac:dyDescent="0.15">
      <c r="A117">
        <f t="shared" si="0"/>
        <v>0</v>
      </c>
      <c r="B117" s="1" t="s">
        <v>302</v>
      </c>
      <c r="C117" s="7" t="s">
        <v>509</v>
      </c>
      <c r="D117" s="7" t="s">
        <v>510</v>
      </c>
      <c r="E117" s="7" t="s">
        <v>511</v>
      </c>
      <c r="F117" s="9" t="s">
        <v>235</v>
      </c>
      <c r="G117" s="1" t="s">
        <v>512</v>
      </c>
      <c r="H117" s="10"/>
      <c r="I117" s="10">
        <v>5</v>
      </c>
      <c r="J117" s="10"/>
      <c r="K117" s="10">
        <v>5</v>
      </c>
      <c r="L117" s="10"/>
      <c r="M117" s="10">
        <v>10</v>
      </c>
      <c r="N117" s="10"/>
      <c r="O117" s="7">
        <v>5</v>
      </c>
      <c r="P117" s="7"/>
      <c r="Q117" s="7"/>
      <c r="AB117" s="7"/>
    </row>
    <row r="118" spans="1:28" ht="56" x14ac:dyDescent="0.15">
      <c r="A118">
        <f t="shared" si="0"/>
        <v>0</v>
      </c>
      <c r="B118" s="1" t="s">
        <v>302</v>
      </c>
      <c r="C118" s="7" t="s">
        <v>513</v>
      </c>
      <c r="D118" s="7" t="s">
        <v>514</v>
      </c>
      <c r="E118" s="7" t="s">
        <v>515</v>
      </c>
      <c r="F118" s="9" t="s">
        <v>27</v>
      </c>
      <c r="G118" s="1" t="s">
        <v>275</v>
      </c>
      <c r="H118" s="10"/>
      <c r="I118" s="10"/>
      <c r="J118" s="10"/>
      <c r="K118" s="10"/>
      <c r="L118" s="10"/>
      <c r="M118" s="10"/>
      <c r="N118" s="10"/>
      <c r="O118" s="7">
        <v>10</v>
      </c>
      <c r="P118" s="7"/>
      <c r="Q118" s="7"/>
      <c r="AB118" s="7"/>
    </row>
    <row r="119" spans="1:28" ht="98" x14ac:dyDescent="0.15">
      <c r="A119">
        <f t="shared" si="0"/>
        <v>0</v>
      </c>
      <c r="B119" s="1" t="s">
        <v>302</v>
      </c>
      <c r="C119" s="7" t="s">
        <v>516</v>
      </c>
      <c r="D119" s="7" t="s">
        <v>517</v>
      </c>
      <c r="E119" s="7" t="s">
        <v>518</v>
      </c>
      <c r="F119" s="9" t="s">
        <v>39</v>
      </c>
      <c r="G119" s="1" t="s">
        <v>519</v>
      </c>
      <c r="H119" s="10"/>
      <c r="I119" s="10"/>
      <c r="J119" s="10"/>
      <c r="K119" s="10"/>
      <c r="L119" s="10"/>
      <c r="M119" s="10"/>
      <c r="N119" s="10"/>
      <c r="O119" s="7">
        <v>15</v>
      </c>
      <c r="P119" s="7"/>
      <c r="Q119" s="7"/>
      <c r="AB119" s="7"/>
    </row>
    <row r="120" spans="1:28" ht="168" x14ac:dyDescent="0.15">
      <c r="A120">
        <f t="shared" si="0"/>
        <v>0</v>
      </c>
      <c r="B120" s="1" t="s">
        <v>302</v>
      </c>
      <c r="C120" s="7" t="s">
        <v>520</v>
      </c>
      <c r="D120" s="7" t="s">
        <v>521</v>
      </c>
      <c r="E120" s="7" t="s">
        <v>521</v>
      </c>
      <c r="F120" s="9" t="s">
        <v>235</v>
      </c>
      <c r="G120" s="1" t="s">
        <v>378</v>
      </c>
      <c r="H120" s="10"/>
      <c r="I120" s="10"/>
      <c r="J120" s="10"/>
      <c r="K120" s="10">
        <v>2</v>
      </c>
      <c r="L120" s="10"/>
      <c r="M120" s="10">
        <v>2</v>
      </c>
      <c r="N120" s="10"/>
      <c r="O120" s="7">
        <v>5</v>
      </c>
      <c r="P120" s="7"/>
      <c r="Q120" s="7"/>
      <c r="AB120" s="7"/>
    </row>
    <row r="121" spans="1:28" ht="112" x14ac:dyDescent="0.15">
      <c r="A121">
        <f t="shared" si="0"/>
        <v>0</v>
      </c>
      <c r="B121" s="1" t="s">
        <v>302</v>
      </c>
      <c r="C121" s="7" t="s">
        <v>522</v>
      </c>
      <c r="D121" s="7" t="s">
        <v>523</v>
      </c>
      <c r="E121" s="7" t="s">
        <v>524</v>
      </c>
      <c r="F121" s="9" t="s">
        <v>39</v>
      </c>
      <c r="G121" s="1" t="s">
        <v>356</v>
      </c>
      <c r="H121" s="10"/>
      <c r="I121" s="10"/>
      <c r="J121" s="10"/>
      <c r="K121" s="10"/>
      <c r="L121" s="10"/>
      <c r="M121" s="10"/>
      <c r="N121" s="10"/>
      <c r="O121" s="7">
        <v>15</v>
      </c>
      <c r="P121" s="7"/>
      <c r="Q121" s="7"/>
      <c r="AB121" s="7"/>
    </row>
    <row r="122" spans="1:28" ht="56" x14ac:dyDescent="0.15">
      <c r="A122">
        <f t="shared" si="0"/>
        <v>0</v>
      </c>
      <c r="B122" s="1" t="s">
        <v>302</v>
      </c>
      <c r="C122" s="7" t="s">
        <v>525</v>
      </c>
      <c r="D122" s="7" t="s">
        <v>526</v>
      </c>
      <c r="E122" s="7" t="s">
        <v>527</v>
      </c>
      <c r="F122" s="9" t="s">
        <v>235</v>
      </c>
      <c r="G122" s="1" t="s">
        <v>528</v>
      </c>
      <c r="H122" s="10"/>
      <c r="I122" s="10"/>
      <c r="J122" s="10"/>
      <c r="K122" s="10"/>
      <c r="L122" s="10"/>
      <c r="M122" s="10"/>
      <c r="N122" s="10"/>
      <c r="O122" s="7">
        <v>5</v>
      </c>
      <c r="P122" s="7"/>
      <c r="Q122" s="7"/>
      <c r="AB122" s="7"/>
    </row>
    <row r="123" spans="1:28" ht="224" x14ac:dyDescent="0.15">
      <c r="A123">
        <f t="shared" si="0"/>
        <v>0</v>
      </c>
      <c r="B123" s="1" t="s">
        <v>302</v>
      </c>
      <c r="C123" s="7" t="s">
        <v>529</v>
      </c>
      <c r="D123" s="7" t="s">
        <v>530</v>
      </c>
      <c r="E123" s="7" t="s">
        <v>531</v>
      </c>
      <c r="F123" s="9" t="s">
        <v>235</v>
      </c>
      <c r="G123" s="1" t="s">
        <v>246</v>
      </c>
      <c r="H123" s="10"/>
      <c r="I123" s="10"/>
      <c r="J123" s="10"/>
      <c r="K123" s="10">
        <v>4</v>
      </c>
      <c r="L123" s="10"/>
      <c r="M123" s="10">
        <v>4</v>
      </c>
      <c r="N123" s="10"/>
      <c r="O123" s="7">
        <v>5</v>
      </c>
      <c r="P123" s="7"/>
      <c r="Q123" s="7"/>
      <c r="AB123" s="7"/>
    </row>
    <row r="124" spans="1:28" ht="28" x14ac:dyDescent="0.15">
      <c r="A124">
        <f t="shared" si="0"/>
        <v>0</v>
      </c>
      <c r="B124" s="1" t="s">
        <v>302</v>
      </c>
      <c r="C124" s="7" t="s">
        <v>532</v>
      </c>
      <c r="D124" s="7" t="s">
        <v>533</v>
      </c>
      <c r="E124" s="7" t="s">
        <v>534</v>
      </c>
      <c r="F124" s="9" t="s">
        <v>107</v>
      </c>
      <c r="G124" s="1" t="s">
        <v>535</v>
      </c>
      <c r="H124" s="10"/>
      <c r="I124" s="10"/>
      <c r="J124" s="10"/>
      <c r="K124" s="10">
        <v>4</v>
      </c>
      <c r="L124" s="10"/>
      <c r="M124" s="10">
        <v>4</v>
      </c>
      <c r="N124" s="10"/>
      <c r="O124" s="7">
        <v>20</v>
      </c>
      <c r="P124" s="7"/>
      <c r="Q124" s="7"/>
      <c r="AB124" s="7"/>
    </row>
    <row r="125" spans="1:28" ht="70" x14ac:dyDescent="0.15">
      <c r="A125">
        <f t="shared" si="0"/>
        <v>0</v>
      </c>
      <c r="B125" s="1" t="s">
        <v>302</v>
      </c>
      <c r="C125" s="7" t="s">
        <v>536</v>
      </c>
      <c r="D125" s="7" t="s">
        <v>537</v>
      </c>
      <c r="E125" s="7" t="s">
        <v>538</v>
      </c>
      <c r="F125" s="9" t="s">
        <v>39</v>
      </c>
      <c r="G125" s="1" t="s">
        <v>539</v>
      </c>
      <c r="H125" s="10">
        <v>6</v>
      </c>
      <c r="I125" s="10"/>
      <c r="J125" s="10"/>
      <c r="K125" s="10">
        <v>6</v>
      </c>
      <c r="L125" s="10"/>
      <c r="M125" s="10">
        <v>6</v>
      </c>
      <c r="N125" s="10"/>
      <c r="O125" s="7">
        <v>15</v>
      </c>
      <c r="P125" s="7"/>
      <c r="Q125" s="7"/>
      <c r="AB125" s="7"/>
    </row>
    <row r="126" spans="1:28" ht="56" x14ac:dyDescent="0.15">
      <c r="A126">
        <f t="shared" si="0"/>
        <v>0</v>
      </c>
      <c r="B126" s="1" t="s">
        <v>302</v>
      </c>
      <c r="C126" s="7" t="s">
        <v>540</v>
      </c>
      <c r="D126" s="7" t="s">
        <v>541</v>
      </c>
      <c r="E126" s="7" t="s">
        <v>542</v>
      </c>
      <c r="F126" s="9" t="s">
        <v>107</v>
      </c>
      <c r="G126" s="1" t="s">
        <v>543</v>
      </c>
      <c r="H126" s="10"/>
      <c r="I126" s="10"/>
      <c r="J126" s="10">
        <v>10</v>
      </c>
      <c r="K126" s="10"/>
      <c r="L126" s="10"/>
      <c r="M126" s="10">
        <v>10</v>
      </c>
      <c r="N126" s="10"/>
      <c r="O126" s="7">
        <v>20</v>
      </c>
      <c r="P126" s="7"/>
      <c r="Q126" s="7"/>
      <c r="AB126" s="7"/>
    </row>
    <row r="127" spans="1:28" ht="56" x14ac:dyDescent="0.15">
      <c r="A127">
        <f t="shared" si="0"/>
        <v>0</v>
      </c>
      <c r="B127" s="1" t="s">
        <v>302</v>
      </c>
      <c r="C127" s="7" t="s">
        <v>544</v>
      </c>
      <c r="D127" s="7" t="s">
        <v>545</v>
      </c>
      <c r="E127" s="7" t="s">
        <v>546</v>
      </c>
      <c r="F127" s="9" t="s">
        <v>235</v>
      </c>
      <c r="G127" s="1" t="s">
        <v>547</v>
      </c>
      <c r="H127" s="10"/>
      <c r="I127" s="10">
        <v>2</v>
      </c>
      <c r="J127" s="10"/>
      <c r="K127" s="10"/>
      <c r="L127" s="10">
        <v>2</v>
      </c>
      <c r="M127" s="10">
        <v>2</v>
      </c>
      <c r="N127" s="10"/>
      <c r="O127" s="7">
        <v>5</v>
      </c>
      <c r="P127" s="7"/>
      <c r="Q127" s="7"/>
      <c r="AB127" s="7"/>
    </row>
    <row r="128" spans="1:28" ht="42" x14ac:dyDescent="0.15">
      <c r="A128">
        <f t="shared" si="0"/>
        <v>0</v>
      </c>
      <c r="B128" s="1" t="s">
        <v>302</v>
      </c>
      <c r="C128" s="7" t="s">
        <v>548</v>
      </c>
      <c r="D128" s="7" t="s">
        <v>549</v>
      </c>
      <c r="E128" s="7" t="s">
        <v>550</v>
      </c>
      <c r="F128" s="9" t="s">
        <v>235</v>
      </c>
      <c r="G128" s="1" t="s">
        <v>551</v>
      </c>
      <c r="H128" s="10">
        <v>4</v>
      </c>
      <c r="I128" s="10">
        <v>4</v>
      </c>
      <c r="J128" s="10">
        <v>4</v>
      </c>
      <c r="K128" s="10">
        <v>4</v>
      </c>
      <c r="L128" s="10">
        <v>4</v>
      </c>
      <c r="M128" s="10">
        <v>4</v>
      </c>
      <c r="N128" s="10"/>
      <c r="O128" s="7">
        <v>5</v>
      </c>
      <c r="P128" s="7"/>
      <c r="Q128" s="7"/>
      <c r="AB128" s="7"/>
    </row>
    <row r="129" spans="1:28" ht="154" x14ac:dyDescent="0.15">
      <c r="A129">
        <f t="shared" si="0"/>
        <v>0</v>
      </c>
      <c r="B129" s="1" t="s">
        <v>302</v>
      </c>
      <c r="C129" s="7" t="s">
        <v>552</v>
      </c>
      <c r="D129" s="7" t="s">
        <v>553</v>
      </c>
      <c r="E129" s="7" t="s">
        <v>554</v>
      </c>
      <c r="F129" s="9" t="s">
        <v>107</v>
      </c>
      <c r="G129" s="1" t="s">
        <v>394</v>
      </c>
      <c r="H129" s="10"/>
      <c r="I129" s="10"/>
      <c r="J129" s="10"/>
      <c r="K129" s="10"/>
      <c r="L129" s="10"/>
      <c r="M129" s="10"/>
      <c r="N129" s="10"/>
      <c r="O129" s="7">
        <v>20</v>
      </c>
      <c r="P129" s="7"/>
      <c r="Q129" s="7"/>
      <c r="AB129" s="7"/>
    </row>
    <row r="130" spans="1:28" ht="168" x14ac:dyDescent="0.15">
      <c r="A130">
        <f t="shared" si="0"/>
        <v>0</v>
      </c>
      <c r="B130" s="1" t="s">
        <v>302</v>
      </c>
      <c r="C130" s="7" t="s">
        <v>555</v>
      </c>
      <c r="D130" s="7" t="s">
        <v>556</v>
      </c>
      <c r="E130" s="7" t="s">
        <v>557</v>
      </c>
      <c r="F130" s="9" t="s">
        <v>558</v>
      </c>
      <c r="G130" s="1" t="s">
        <v>559</v>
      </c>
      <c r="H130" s="10">
        <v>8</v>
      </c>
      <c r="I130" s="10"/>
      <c r="J130" s="10"/>
      <c r="K130" s="10"/>
      <c r="L130" s="10"/>
      <c r="M130" s="10">
        <v>8</v>
      </c>
      <c r="N130" s="10"/>
      <c r="O130" s="7">
        <v>10</v>
      </c>
      <c r="P130" s="7">
        <v>20</v>
      </c>
      <c r="Q130" s="7">
        <v>30</v>
      </c>
      <c r="AB130" s="7"/>
    </row>
    <row r="131" spans="1:28" ht="154" x14ac:dyDescent="0.15">
      <c r="A131">
        <f t="shared" si="0"/>
        <v>0</v>
      </c>
      <c r="B131" s="1" t="s">
        <v>302</v>
      </c>
      <c r="C131" s="7" t="s">
        <v>560</v>
      </c>
      <c r="D131" s="7" t="s">
        <v>561</v>
      </c>
      <c r="E131" s="7" t="s">
        <v>562</v>
      </c>
      <c r="F131" s="9" t="s">
        <v>27</v>
      </c>
      <c r="G131" s="1" t="s">
        <v>563</v>
      </c>
      <c r="H131" s="10"/>
      <c r="I131" s="10"/>
      <c r="J131" s="10"/>
      <c r="K131" s="10"/>
      <c r="L131" s="10"/>
      <c r="M131" s="10"/>
      <c r="N131" s="10"/>
      <c r="O131" s="7">
        <v>10</v>
      </c>
      <c r="P131" s="7"/>
      <c r="Q131" s="7"/>
      <c r="AB131" s="7"/>
    </row>
    <row r="132" spans="1:28" ht="70" x14ac:dyDescent="0.15">
      <c r="A132">
        <f t="shared" si="0"/>
        <v>0</v>
      </c>
      <c r="B132" s="1" t="s">
        <v>302</v>
      </c>
      <c r="C132" s="1" t="s">
        <v>564</v>
      </c>
      <c r="D132" s="7" t="s">
        <v>565</v>
      </c>
      <c r="E132" s="7" t="s">
        <v>566</v>
      </c>
      <c r="F132" s="9" t="s">
        <v>27</v>
      </c>
      <c r="G132" s="1" t="s">
        <v>567</v>
      </c>
      <c r="H132" s="10">
        <v>4</v>
      </c>
      <c r="I132" s="10"/>
      <c r="J132" s="10"/>
      <c r="K132" s="10">
        <v>4</v>
      </c>
      <c r="L132" s="10"/>
      <c r="M132" s="10">
        <v>8</v>
      </c>
      <c r="N132" s="10"/>
      <c r="O132" s="7">
        <v>10</v>
      </c>
      <c r="P132" s="7"/>
      <c r="Q132" s="7"/>
      <c r="AB132" s="7"/>
    </row>
    <row r="133" spans="1:28" ht="70" x14ac:dyDescent="0.15">
      <c r="A133">
        <f t="shared" si="0"/>
        <v>0</v>
      </c>
      <c r="B133" s="1" t="s">
        <v>302</v>
      </c>
      <c r="C133" s="7" t="s">
        <v>568</v>
      </c>
      <c r="D133" s="7" t="s">
        <v>569</v>
      </c>
      <c r="E133" s="7" t="s">
        <v>570</v>
      </c>
      <c r="F133" s="9" t="s">
        <v>235</v>
      </c>
      <c r="G133" s="1" t="s">
        <v>571</v>
      </c>
      <c r="H133" s="10">
        <v>6</v>
      </c>
      <c r="I133" s="10"/>
      <c r="J133" s="10"/>
      <c r="K133" s="10">
        <v>6</v>
      </c>
      <c r="L133" s="10"/>
      <c r="M133" s="10">
        <v>6</v>
      </c>
      <c r="N133" s="10"/>
      <c r="O133" s="7">
        <v>5</v>
      </c>
      <c r="P133" s="7"/>
      <c r="Q133" s="7"/>
      <c r="AB133" s="7"/>
    </row>
    <row r="134" spans="1:28" ht="112" x14ac:dyDescent="0.15">
      <c r="A134">
        <f t="shared" si="0"/>
        <v>0</v>
      </c>
      <c r="B134" s="16" t="s">
        <v>302</v>
      </c>
      <c r="C134" s="16" t="s">
        <v>572</v>
      </c>
      <c r="D134" s="16" t="s">
        <v>573</v>
      </c>
      <c r="E134" s="16" t="s">
        <v>574</v>
      </c>
      <c r="F134" s="18" t="s">
        <v>575</v>
      </c>
      <c r="G134" s="19" t="s">
        <v>576</v>
      </c>
      <c r="H134" s="20"/>
      <c r="I134" s="20"/>
      <c r="J134" s="20"/>
      <c r="K134" s="20"/>
      <c r="L134" s="20"/>
      <c r="M134" s="20"/>
      <c r="N134" s="20"/>
      <c r="O134" s="21">
        <v>15</v>
      </c>
      <c r="P134" s="21">
        <v>40</v>
      </c>
      <c r="Q134" s="7"/>
      <c r="AB134" s="7"/>
    </row>
    <row r="135" spans="1:28" ht="112" x14ac:dyDescent="0.15">
      <c r="A135">
        <f t="shared" si="0"/>
        <v>0</v>
      </c>
      <c r="B135" s="1" t="s">
        <v>302</v>
      </c>
      <c r="C135" s="7" t="s">
        <v>577</v>
      </c>
      <c r="D135" s="7" t="s">
        <v>578</v>
      </c>
      <c r="E135" s="7" t="s">
        <v>579</v>
      </c>
      <c r="F135" s="9" t="s">
        <v>235</v>
      </c>
      <c r="G135" s="1" t="s">
        <v>580</v>
      </c>
      <c r="H135" s="10"/>
      <c r="I135" s="10"/>
      <c r="J135" s="10">
        <v>4</v>
      </c>
      <c r="K135" s="10">
        <v>4</v>
      </c>
      <c r="L135" s="10"/>
      <c r="M135" s="10">
        <v>4</v>
      </c>
      <c r="N135" s="10"/>
      <c r="O135" s="7">
        <v>5</v>
      </c>
      <c r="P135" s="7"/>
      <c r="Q135" s="7"/>
      <c r="AB135" s="7"/>
    </row>
    <row r="136" spans="1:28" ht="28" x14ac:dyDescent="0.15">
      <c r="A136">
        <f t="shared" si="0"/>
        <v>0</v>
      </c>
      <c r="B136" s="1" t="s">
        <v>302</v>
      </c>
      <c r="C136" s="7" t="s">
        <v>581</v>
      </c>
      <c r="D136" s="7" t="s">
        <v>582</v>
      </c>
      <c r="E136" s="7" t="s">
        <v>583</v>
      </c>
      <c r="F136" s="9" t="s">
        <v>235</v>
      </c>
      <c r="G136" s="1" t="s">
        <v>378</v>
      </c>
      <c r="H136" s="10"/>
      <c r="I136" s="10"/>
      <c r="J136" s="10"/>
      <c r="K136" s="10">
        <v>6</v>
      </c>
      <c r="L136" s="10"/>
      <c r="M136" s="10">
        <v>6</v>
      </c>
      <c r="N136" s="10"/>
      <c r="O136" s="7">
        <v>5</v>
      </c>
      <c r="P136" s="7"/>
      <c r="Q136" s="7"/>
      <c r="AB136" s="7"/>
    </row>
    <row r="137" spans="1:28" ht="98" x14ac:dyDescent="0.15">
      <c r="A137">
        <f t="shared" si="0"/>
        <v>0</v>
      </c>
      <c r="B137" s="1" t="s">
        <v>302</v>
      </c>
      <c r="C137" s="7" t="s">
        <v>584</v>
      </c>
      <c r="D137" s="7" t="s">
        <v>585</v>
      </c>
      <c r="E137" s="7" t="s">
        <v>586</v>
      </c>
      <c r="F137" s="9" t="s">
        <v>306</v>
      </c>
      <c r="G137" s="1" t="s">
        <v>587</v>
      </c>
      <c r="H137" s="10"/>
      <c r="I137" s="10"/>
      <c r="J137" s="10"/>
      <c r="K137" s="10"/>
      <c r="L137" s="10"/>
      <c r="M137" s="10"/>
      <c r="N137" s="10"/>
      <c r="O137" s="7">
        <v>5</v>
      </c>
      <c r="P137" s="7">
        <v>5</v>
      </c>
      <c r="Q137" s="7">
        <v>5</v>
      </c>
      <c r="AB137" s="7"/>
    </row>
    <row r="138" spans="1:28" ht="70" x14ac:dyDescent="0.15">
      <c r="A138">
        <f t="shared" si="0"/>
        <v>0</v>
      </c>
      <c r="B138" s="1" t="s">
        <v>302</v>
      </c>
      <c r="C138" s="7" t="s">
        <v>588</v>
      </c>
      <c r="D138" s="7" t="s">
        <v>589</v>
      </c>
      <c r="E138" s="7" t="s">
        <v>590</v>
      </c>
      <c r="F138" s="9" t="s">
        <v>112</v>
      </c>
      <c r="G138" s="1" t="s">
        <v>591</v>
      </c>
      <c r="H138" s="10"/>
      <c r="I138" s="10"/>
      <c r="J138" s="10"/>
      <c r="K138" s="10"/>
      <c r="L138" s="10"/>
      <c r="M138" s="10"/>
      <c r="N138" s="10"/>
      <c r="O138" s="7">
        <v>40</v>
      </c>
      <c r="P138" s="7"/>
      <c r="Q138" s="7"/>
      <c r="AB138" s="7"/>
    </row>
    <row r="139" spans="1:28" ht="112" x14ac:dyDescent="0.15">
      <c r="A139">
        <f t="shared" si="0"/>
        <v>0</v>
      </c>
      <c r="B139" s="1" t="s">
        <v>302</v>
      </c>
      <c r="C139" s="7" t="s">
        <v>592</v>
      </c>
      <c r="D139" s="7" t="s">
        <v>593</v>
      </c>
      <c r="E139" s="7" t="s">
        <v>594</v>
      </c>
      <c r="F139" s="9" t="s">
        <v>185</v>
      </c>
      <c r="G139" s="7" t="s">
        <v>414</v>
      </c>
      <c r="H139" s="10"/>
      <c r="I139" s="10"/>
      <c r="J139" s="10"/>
      <c r="K139" s="10"/>
      <c r="L139" s="10"/>
      <c r="M139" s="10"/>
      <c r="N139" s="10"/>
      <c r="O139" s="7">
        <v>30</v>
      </c>
      <c r="P139" s="7"/>
      <c r="Q139" s="7"/>
      <c r="AB139" s="7"/>
    </row>
    <row r="140" spans="1:28" ht="42" x14ac:dyDescent="0.15">
      <c r="A140">
        <f t="shared" si="0"/>
        <v>0</v>
      </c>
      <c r="B140" s="1" t="s">
        <v>302</v>
      </c>
      <c r="C140" s="7" t="s">
        <v>595</v>
      </c>
      <c r="D140" s="7" t="s">
        <v>596</v>
      </c>
      <c r="E140" s="7" t="s">
        <v>597</v>
      </c>
      <c r="F140" s="9" t="s">
        <v>235</v>
      </c>
      <c r="G140" s="1" t="s">
        <v>398</v>
      </c>
      <c r="H140" s="10">
        <v>2</v>
      </c>
      <c r="I140" s="10"/>
      <c r="J140" s="10"/>
      <c r="K140" s="10"/>
      <c r="L140" s="10"/>
      <c r="M140" s="10">
        <v>2</v>
      </c>
      <c r="N140" s="10"/>
      <c r="O140" s="7">
        <v>5</v>
      </c>
      <c r="P140" s="7"/>
      <c r="Q140" s="7"/>
      <c r="AB140" s="7"/>
    </row>
    <row r="141" spans="1:28" ht="70" x14ac:dyDescent="0.15">
      <c r="A141">
        <f t="shared" si="0"/>
        <v>0</v>
      </c>
      <c r="B141" s="1" t="s">
        <v>302</v>
      </c>
      <c r="C141" s="7" t="s">
        <v>598</v>
      </c>
      <c r="D141" s="7" t="s">
        <v>599</v>
      </c>
      <c r="E141" s="7" t="s">
        <v>600</v>
      </c>
      <c r="F141" s="9" t="s">
        <v>185</v>
      </c>
      <c r="G141" s="1" t="s">
        <v>601</v>
      </c>
      <c r="H141" s="10"/>
      <c r="I141" s="10"/>
      <c r="J141" s="10">
        <v>12</v>
      </c>
      <c r="K141" s="10"/>
      <c r="L141" s="10"/>
      <c r="M141" s="10">
        <v>12</v>
      </c>
      <c r="N141" s="10"/>
      <c r="O141" s="7">
        <v>30</v>
      </c>
      <c r="P141" s="7"/>
      <c r="Q141" s="7"/>
      <c r="AB141" s="7"/>
    </row>
    <row r="142" spans="1:28" ht="56" x14ac:dyDescent="0.15">
      <c r="A142">
        <f t="shared" si="0"/>
        <v>0</v>
      </c>
      <c r="B142" s="1" t="s">
        <v>302</v>
      </c>
      <c r="C142" s="7" t="s">
        <v>602</v>
      </c>
      <c r="D142" s="7" t="s">
        <v>603</v>
      </c>
      <c r="E142" s="7" t="s">
        <v>604</v>
      </c>
      <c r="F142" s="9" t="s">
        <v>112</v>
      </c>
      <c r="G142" s="1" t="s">
        <v>605</v>
      </c>
      <c r="H142" s="10"/>
      <c r="I142" s="10"/>
      <c r="J142" s="10"/>
      <c r="K142" s="10"/>
      <c r="L142" s="10"/>
      <c r="M142" s="10"/>
      <c r="N142" s="10"/>
      <c r="O142" s="7">
        <v>40</v>
      </c>
      <c r="P142" s="7"/>
      <c r="Q142" s="7"/>
      <c r="AB142" s="7"/>
    </row>
    <row r="143" spans="1:28" ht="70" x14ac:dyDescent="0.15">
      <c r="A143">
        <f t="shared" si="0"/>
        <v>0</v>
      </c>
      <c r="B143" s="1" t="s">
        <v>302</v>
      </c>
      <c r="C143" s="7" t="s">
        <v>606</v>
      </c>
      <c r="D143" s="7" t="s">
        <v>607</v>
      </c>
      <c r="E143" s="7" t="s">
        <v>608</v>
      </c>
      <c r="F143" s="9" t="s">
        <v>185</v>
      </c>
      <c r="G143" s="1" t="s">
        <v>609</v>
      </c>
      <c r="H143" s="10"/>
      <c r="I143" s="10">
        <v>6</v>
      </c>
      <c r="J143" s="10">
        <v>6</v>
      </c>
      <c r="K143" s="10"/>
      <c r="L143" s="10"/>
      <c r="M143" s="10">
        <v>12</v>
      </c>
      <c r="N143" s="10"/>
      <c r="O143" s="7">
        <v>30</v>
      </c>
      <c r="P143" s="7"/>
      <c r="Q143" s="7"/>
      <c r="AB143" s="7"/>
    </row>
    <row r="144" spans="1:28" ht="28" x14ac:dyDescent="0.15">
      <c r="A144">
        <f t="shared" si="0"/>
        <v>0</v>
      </c>
      <c r="B144" s="1" t="s">
        <v>302</v>
      </c>
      <c r="C144" s="7" t="s">
        <v>610</v>
      </c>
      <c r="D144" s="7" t="s">
        <v>611</v>
      </c>
      <c r="E144" s="7" t="s">
        <v>612</v>
      </c>
      <c r="F144" s="9" t="s">
        <v>107</v>
      </c>
      <c r="G144" s="1" t="s">
        <v>414</v>
      </c>
      <c r="H144" s="10"/>
      <c r="I144" s="10"/>
      <c r="J144" s="10"/>
      <c r="K144" s="10"/>
      <c r="L144" s="10"/>
      <c r="M144" s="10"/>
      <c r="N144" s="10"/>
      <c r="O144" s="7">
        <v>20</v>
      </c>
      <c r="P144" s="7"/>
      <c r="Q144" s="7"/>
      <c r="AB144" s="7"/>
    </row>
    <row r="145" spans="1:28" ht="56" x14ac:dyDescent="0.15">
      <c r="A145">
        <f t="shared" si="0"/>
        <v>0</v>
      </c>
      <c r="B145" s="1" t="s">
        <v>302</v>
      </c>
      <c r="C145" s="7" t="s">
        <v>613</v>
      </c>
      <c r="D145" s="7" t="s">
        <v>614</v>
      </c>
      <c r="E145" s="7" t="s">
        <v>615</v>
      </c>
      <c r="F145" s="9" t="s">
        <v>27</v>
      </c>
      <c r="G145" s="1" t="s">
        <v>341</v>
      </c>
      <c r="H145" s="10"/>
      <c r="I145" s="10"/>
      <c r="J145" s="10"/>
      <c r="K145" s="10"/>
      <c r="L145" s="10"/>
      <c r="M145" s="10"/>
      <c r="N145" s="10"/>
      <c r="O145" s="7">
        <v>10</v>
      </c>
      <c r="P145" s="7"/>
      <c r="Q145" s="7"/>
      <c r="AB145" s="7"/>
    </row>
    <row r="146" spans="1:28" ht="28" x14ac:dyDescent="0.15">
      <c r="A146">
        <f t="shared" si="0"/>
        <v>0</v>
      </c>
      <c r="B146" s="1" t="s">
        <v>302</v>
      </c>
      <c r="C146" s="7" t="s">
        <v>616</v>
      </c>
      <c r="D146" s="7" t="s">
        <v>617</v>
      </c>
      <c r="E146" s="7" t="s">
        <v>618</v>
      </c>
      <c r="F146" s="9" t="s">
        <v>39</v>
      </c>
      <c r="G146" s="1" t="s">
        <v>601</v>
      </c>
      <c r="H146" s="10"/>
      <c r="I146" s="10"/>
      <c r="J146" s="10">
        <v>6</v>
      </c>
      <c r="K146" s="10"/>
      <c r="L146" s="10"/>
      <c r="M146" s="10">
        <v>6</v>
      </c>
      <c r="N146" s="10"/>
      <c r="O146" s="7">
        <v>15</v>
      </c>
      <c r="P146" s="7"/>
      <c r="Q146" s="7"/>
      <c r="AB146" s="7"/>
    </row>
    <row r="147" spans="1:28" ht="384" x14ac:dyDescent="0.15">
      <c r="A147">
        <f t="shared" si="0"/>
        <v>0</v>
      </c>
      <c r="B147" s="1" t="s">
        <v>302</v>
      </c>
      <c r="C147" s="7" t="s">
        <v>619</v>
      </c>
      <c r="D147" s="7" t="s">
        <v>620</v>
      </c>
      <c r="E147" s="7" t="s">
        <v>621</v>
      </c>
      <c r="F147" s="9" t="s">
        <v>622</v>
      </c>
      <c r="G147" s="1" t="s">
        <v>623</v>
      </c>
      <c r="H147" s="10"/>
      <c r="I147" s="10">
        <v>4</v>
      </c>
      <c r="J147" s="10"/>
      <c r="K147" s="10"/>
      <c r="L147" s="10"/>
      <c r="M147" s="10">
        <v>4</v>
      </c>
      <c r="N147" s="10"/>
      <c r="O147" s="7">
        <v>20</v>
      </c>
      <c r="P147" s="7">
        <v>45</v>
      </c>
      <c r="Q147" s="7">
        <v>75</v>
      </c>
      <c r="R147" s="1">
        <v>110</v>
      </c>
      <c r="AB147" s="7"/>
    </row>
    <row r="148" spans="1:28" ht="42" x14ac:dyDescent="0.15">
      <c r="A148">
        <f t="shared" si="0"/>
        <v>0</v>
      </c>
      <c r="B148" s="1" t="s">
        <v>302</v>
      </c>
      <c r="C148" s="23" t="s">
        <v>624</v>
      </c>
      <c r="D148" s="7" t="s">
        <v>625</v>
      </c>
      <c r="E148" s="7" t="s">
        <v>625</v>
      </c>
      <c r="F148" s="9" t="s">
        <v>127</v>
      </c>
      <c r="G148" s="1" t="s">
        <v>626</v>
      </c>
      <c r="H148" s="10"/>
      <c r="I148" s="10"/>
      <c r="J148" s="10"/>
      <c r="K148" s="10"/>
      <c r="L148" s="10"/>
      <c r="M148" s="10"/>
      <c r="N148" s="10"/>
      <c r="O148" s="7">
        <v>50</v>
      </c>
      <c r="P148" s="7"/>
      <c r="Q148" s="7"/>
      <c r="AB148" s="7"/>
    </row>
    <row r="149" spans="1:28" ht="224" x14ac:dyDescent="0.15">
      <c r="A149">
        <f t="shared" si="0"/>
        <v>0</v>
      </c>
      <c r="B149" s="1" t="s">
        <v>302</v>
      </c>
      <c r="C149" s="7" t="s">
        <v>627</v>
      </c>
      <c r="D149" s="7" t="s">
        <v>628</v>
      </c>
      <c r="E149" s="7" t="s">
        <v>629</v>
      </c>
      <c r="F149" s="9" t="s">
        <v>630</v>
      </c>
      <c r="G149" s="1" t="s">
        <v>631</v>
      </c>
      <c r="H149" s="10"/>
      <c r="I149" s="10"/>
      <c r="J149" s="10">
        <v>4</v>
      </c>
      <c r="K149" s="10">
        <v>4</v>
      </c>
      <c r="L149" s="10"/>
      <c r="M149" s="10">
        <v>4</v>
      </c>
      <c r="N149" s="10"/>
      <c r="O149" s="7">
        <v>5</v>
      </c>
      <c r="P149" s="7">
        <v>15</v>
      </c>
      <c r="Q149" s="7">
        <v>25</v>
      </c>
      <c r="AB149" s="7"/>
    </row>
    <row r="150" spans="1:28" ht="28" x14ac:dyDescent="0.15">
      <c r="A150">
        <f t="shared" si="0"/>
        <v>0</v>
      </c>
      <c r="B150" s="1" t="s">
        <v>302</v>
      </c>
      <c r="C150" s="7" t="s">
        <v>632</v>
      </c>
      <c r="D150" s="7" t="s">
        <v>633</v>
      </c>
      <c r="E150" s="7" t="s">
        <v>634</v>
      </c>
      <c r="F150" s="9" t="s">
        <v>112</v>
      </c>
      <c r="G150" s="1" t="s">
        <v>635</v>
      </c>
      <c r="H150" s="10"/>
      <c r="I150" s="10"/>
      <c r="J150" s="10"/>
      <c r="K150" s="10"/>
      <c r="L150" s="10"/>
      <c r="M150" s="10"/>
      <c r="N150" s="10"/>
      <c r="O150" s="7">
        <v>40</v>
      </c>
      <c r="P150" s="7"/>
      <c r="Q150" s="7"/>
      <c r="AB150" s="7"/>
    </row>
    <row r="151" spans="1:28" ht="70" x14ac:dyDescent="0.15">
      <c r="A151">
        <f t="shared" si="0"/>
        <v>0</v>
      </c>
      <c r="B151" s="1" t="s">
        <v>302</v>
      </c>
      <c r="C151" s="7" t="s">
        <v>636</v>
      </c>
      <c r="D151" s="7" t="s">
        <v>637</v>
      </c>
      <c r="E151" s="7" t="s">
        <v>638</v>
      </c>
      <c r="F151" s="9" t="s">
        <v>558</v>
      </c>
      <c r="G151" s="1" t="s">
        <v>639</v>
      </c>
      <c r="H151" s="10">
        <v>3</v>
      </c>
      <c r="I151" s="10"/>
      <c r="J151" s="10"/>
      <c r="K151" s="10"/>
      <c r="L151" s="10"/>
      <c r="M151" s="10">
        <v>3</v>
      </c>
      <c r="N151" s="10"/>
      <c r="O151" s="7">
        <v>10</v>
      </c>
      <c r="P151" s="7">
        <v>20</v>
      </c>
      <c r="Q151" s="7">
        <v>30</v>
      </c>
      <c r="R151" s="1">
        <v>40</v>
      </c>
      <c r="S151" s="1">
        <v>50</v>
      </c>
      <c r="T151" s="1">
        <v>60</v>
      </c>
      <c r="AB151" s="7"/>
    </row>
    <row r="152" spans="1:28" ht="56" x14ac:dyDescent="0.15">
      <c r="A152">
        <f t="shared" si="0"/>
        <v>0</v>
      </c>
      <c r="B152" s="1" t="s">
        <v>302</v>
      </c>
      <c r="C152" s="7" t="s">
        <v>640</v>
      </c>
      <c r="D152" s="7" t="s">
        <v>641</v>
      </c>
      <c r="E152" s="7" t="s">
        <v>642</v>
      </c>
      <c r="F152" s="9" t="s">
        <v>27</v>
      </c>
      <c r="G152" s="1" t="s">
        <v>488</v>
      </c>
      <c r="H152" s="10"/>
      <c r="I152" s="10"/>
      <c r="J152" s="10"/>
      <c r="K152" s="10"/>
      <c r="L152" s="10">
        <v>6</v>
      </c>
      <c r="M152" s="10">
        <v>6</v>
      </c>
      <c r="N152" s="10"/>
      <c r="O152" s="7">
        <v>10</v>
      </c>
      <c r="P152" s="7"/>
      <c r="Q152" s="7"/>
      <c r="AB152" s="7"/>
    </row>
    <row r="153" spans="1:28" ht="126" x14ac:dyDescent="0.15">
      <c r="A153">
        <f t="shared" si="0"/>
        <v>0</v>
      </c>
      <c r="B153" s="1" t="s">
        <v>302</v>
      </c>
      <c r="C153" s="7" t="s">
        <v>643</v>
      </c>
      <c r="D153" s="7" t="s">
        <v>644</v>
      </c>
      <c r="E153" s="7" t="s">
        <v>645</v>
      </c>
      <c r="F153" s="9" t="s">
        <v>185</v>
      </c>
      <c r="G153" s="1" t="s">
        <v>646</v>
      </c>
      <c r="H153" s="10">
        <v>8</v>
      </c>
      <c r="I153" s="10"/>
      <c r="J153" s="10"/>
      <c r="K153" s="10">
        <v>8</v>
      </c>
      <c r="L153" s="10">
        <v>8</v>
      </c>
      <c r="M153" s="10">
        <v>12</v>
      </c>
      <c r="N153" s="10"/>
      <c r="O153" s="7">
        <v>30</v>
      </c>
      <c r="P153" s="7"/>
      <c r="Q153" s="7"/>
      <c r="AB153" s="7"/>
    </row>
    <row r="154" spans="1:28" ht="42" x14ac:dyDescent="0.15">
      <c r="A154">
        <f t="shared" si="0"/>
        <v>0</v>
      </c>
      <c r="B154" s="1" t="s">
        <v>302</v>
      </c>
      <c r="C154" s="7" t="s">
        <v>647</v>
      </c>
      <c r="D154" s="7" t="s">
        <v>648</v>
      </c>
      <c r="E154" s="7" t="s">
        <v>649</v>
      </c>
      <c r="F154" s="9" t="s">
        <v>39</v>
      </c>
      <c r="G154" s="1" t="s">
        <v>249</v>
      </c>
      <c r="H154" s="10">
        <v>6</v>
      </c>
      <c r="I154" s="10"/>
      <c r="J154" s="10"/>
      <c r="K154" s="10"/>
      <c r="L154" s="10"/>
      <c r="M154" s="10">
        <v>6</v>
      </c>
      <c r="N154" s="10"/>
      <c r="O154" s="7">
        <v>15</v>
      </c>
      <c r="P154" s="7"/>
      <c r="Q154" s="7"/>
      <c r="AB154" s="7"/>
    </row>
    <row r="155" spans="1:28" ht="196" x14ac:dyDescent="0.15">
      <c r="A155">
        <f t="shared" si="0"/>
        <v>0</v>
      </c>
      <c r="B155" s="16" t="s">
        <v>302</v>
      </c>
      <c r="C155" s="16" t="s">
        <v>650</v>
      </c>
      <c r="D155" s="16" t="s">
        <v>651</v>
      </c>
      <c r="E155" s="16" t="s">
        <v>652</v>
      </c>
      <c r="F155" s="24" t="s">
        <v>27</v>
      </c>
      <c r="G155" s="19" t="s">
        <v>653</v>
      </c>
      <c r="H155" s="20"/>
      <c r="I155" s="20"/>
      <c r="J155" s="20"/>
      <c r="K155" s="20"/>
      <c r="L155" s="20"/>
      <c r="M155" s="20"/>
      <c r="N155" s="20"/>
      <c r="O155" s="21">
        <v>10</v>
      </c>
      <c r="P155" s="19"/>
      <c r="Q155" s="7"/>
      <c r="AB155" s="7"/>
    </row>
    <row r="156" spans="1:28" ht="42" x14ac:dyDescent="0.15">
      <c r="A156">
        <f t="shared" si="0"/>
        <v>0</v>
      </c>
      <c r="B156" s="1" t="s">
        <v>302</v>
      </c>
      <c r="C156" s="7" t="s">
        <v>654</v>
      </c>
      <c r="D156" s="7" t="s">
        <v>655</v>
      </c>
      <c r="E156" s="7" t="s">
        <v>656</v>
      </c>
      <c r="F156" s="9" t="s">
        <v>39</v>
      </c>
      <c r="G156" s="1" t="s">
        <v>657</v>
      </c>
      <c r="H156" s="10"/>
      <c r="I156" s="10"/>
      <c r="J156" s="10">
        <v>6</v>
      </c>
      <c r="K156" s="10">
        <v>6</v>
      </c>
      <c r="L156" s="10"/>
      <c r="M156" s="10">
        <v>6</v>
      </c>
      <c r="N156" s="10"/>
      <c r="O156" s="7">
        <v>15</v>
      </c>
      <c r="P156" s="7"/>
      <c r="Q156" s="7"/>
      <c r="AB156" s="7"/>
    </row>
    <row r="157" spans="1:28" ht="84" x14ac:dyDescent="0.15">
      <c r="A157">
        <f t="shared" si="0"/>
        <v>0</v>
      </c>
      <c r="B157" s="7" t="s">
        <v>302</v>
      </c>
      <c r="C157" s="1" t="s">
        <v>658</v>
      </c>
      <c r="D157" s="7" t="s">
        <v>659</v>
      </c>
      <c r="E157" s="7" t="s">
        <v>660</v>
      </c>
      <c r="F157" s="9" t="s">
        <v>185</v>
      </c>
      <c r="G157" s="1" t="s">
        <v>567</v>
      </c>
      <c r="H157" s="10">
        <v>4</v>
      </c>
      <c r="I157" s="10"/>
      <c r="J157" s="10"/>
      <c r="K157" s="10">
        <v>4</v>
      </c>
      <c r="L157" s="10"/>
      <c r="M157" s="10">
        <v>8</v>
      </c>
      <c r="N157" s="10"/>
      <c r="O157" s="7">
        <v>30</v>
      </c>
      <c r="P157" s="7"/>
      <c r="Q157" s="7"/>
      <c r="AB157" s="7"/>
    </row>
    <row r="158" spans="1:28" ht="28" x14ac:dyDescent="0.15">
      <c r="A158">
        <f t="shared" si="0"/>
        <v>0</v>
      </c>
      <c r="B158" s="1" t="s">
        <v>302</v>
      </c>
      <c r="C158" s="7" t="s">
        <v>661</v>
      </c>
      <c r="D158" s="7" t="s">
        <v>662</v>
      </c>
      <c r="E158" s="7" t="s">
        <v>662</v>
      </c>
      <c r="F158" s="9" t="s">
        <v>235</v>
      </c>
      <c r="G158" s="1" t="s">
        <v>663</v>
      </c>
      <c r="H158" s="10"/>
      <c r="I158" s="10">
        <v>6</v>
      </c>
      <c r="J158" s="10"/>
      <c r="K158" s="10"/>
      <c r="L158" s="10"/>
      <c r="M158" s="10">
        <v>6</v>
      </c>
      <c r="N158" s="10"/>
      <c r="O158" s="7">
        <v>5</v>
      </c>
      <c r="P158" s="7"/>
      <c r="Q158" s="7"/>
      <c r="Y158" s="1" t="s">
        <v>664</v>
      </c>
      <c r="AB158" s="7"/>
    </row>
    <row r="159" spans="1:28" ht="42" x14ac:dyDescent="0.15">
      <c r="A159">
        <f t="shared" si="0"/>
        <v>0</v>
      </c>
      <c r="B159" s="1" t="s">
        <v>302</v>
      </c>
      <c r="C159" s="7" t="s">
        <v>665</v>
      </c>
      <c r="D159" s="7" t="s">
        <v>666</v>
      </c>
      <c r="E159" s="7" t="s">
        <v>667</v>
      </c>
      <c r="F159" s="9" t="s">
        <v>235</v>
      </c>
      <c r="G159" s="1" t="s">
        <v>668</v>
      </c>
      <c r="H159" s="10"/>
      <c r="I159" s="10"/>
      <c r="J159" s="10"/>
      <c r="K159" s="10"/>
      <c r="L159" s="10"/>
      <c r="M159" s="10"/>
      <c r="N159" s="10"/>
      <c r="O159" s="7">
        <v>5</v>
      </c>
      <c r="P159" s="7"/>
      <c r="Q159" s="7"/>
      <c r="AB159" s="7"/>
    </row>
    <row r="160" spans="1:28" ht="42" x14ac:dyDescent="0.15">
      <c r="A160">
        <f t="shared" si="0"/>
        <v>0</v>
      </c>
      <c r="B160" s="1" t="s">
        <v>302</v>
      </c>
      <c r="C160" s="7" t="s">
        <v>669</v>
      </c>
      <c r="D160" s="7" t="s">
        <v>670</v>
      </c>
      <c r="E160" s="7" t="s">
        <v>671</v>
      </c>
      <c r="F160" s="9" t="s">
        <v>306</v>
      </c>
      <c r="G160" s="1" t="s">
        <v>672</v>
      </c>
      <c r="H160" s="10"/>
      <c r="I160" s="10"/>
      <c r="J160" s="10"/>
      <c r="K160" s="10"/>
      <c r="L160" s="10"/>
      <c r="M160" s="10"/>
      <c r="N160" s="10"/>
      <c r="O160" s="7">
        <v>5</v>
      </c>
      <c r="P160" s="7">
        <v>10</v>
      </c>
      <c r="Q160" s="7">
        <v>15</v>
      </c>
      <c r="AB160" s="7"/>
    </row>
    <row r="161" spans="1:28" ht="42" x14ac:dyDescent="0.15">
      <c r="A161">
        <f t="shared" si="0"/>
        <v>0</v>
      </c>
      <c r="B161" s="1" t="s">
        <v>302</v>
      </c>
      <c r="C161" s="7" t="s">
        <v>673</v>
      </c>
      <c r="D161" s="7" t="s">
        <v>674</v>
      </c>
      <c r="E161" s="7" t="s">
        <v>675</v>
      </c>
      <c r="F161" s="9" t="s">
        <v>39</v>
      </c>
      <c r="G161" s="1" t="s">
        <v>676</v>
      </c>
      <c r="H161" s="10">
        <v>6</v>
      </c>
      <c r="I161" s="10"/>
      <c r="J161" s="10">
        <v>6</v>
      </c>
      <c r="K161" s="10"/>
      <c r="L161" s="10"/>
      <c r="M161" s="10">
        <v>6</v>
      </c>
      <c r="N161" s="10"/>
      <c r="O161" s="7">
        <v>15</v>
      </c>
      <c r="P161" s="7"/>
      <c r="Q161" s="7"/>
      <c r="AB161" s="7"/>
    </row>
    <row r="162" spans="1:28" ht="98" x14ac:dyDescent="0.15">
      <c r="A162">
        <f t="shared" si="0"/>
        <v>0</v>
      </c>
      <c r="B162" s="1" t="s">
        <v>302</v>
      </c>
      <c r="C162" s="7" t="s">
        <v>677</v>
      </c>
      <c r="D162" s="7" t="s">
        <v>678</v>
      </c>
      <c r="E162" s="7" t="s">
        <v>679</v>
      </c>
      <c r="F162" s="9" t="s">
        <v>107</v>
      </c>
      <c r="G162" s="1" t="s">
        <v>680</v>
      </c>
      <c r="H162" s="10">
        <v>12</v>
      </c>
      <c r="I162" s="10"/>
      <c r="J162" s="10"/>
      <c r="K162" s="10"/>
      <c r="L162" s="10"/>
      <c r="M162" s="10">
        <v>12</v>
      </c>
      <c r="N162" s="10"/>
      <c r="O162" s="7">
        <v>20</v>
      </c>
      <c r="P162" s="7"/>
      <c r="Q162" s="7"/>
      <c r="AB162" s="7"/>
    </row>
    <row r="163" spans="1:28" ht="28" x14ac:dyDescent="0.15">
      <c r="A163">
        <f t="shared" si="0"/>
        <v>0</v>
      </c>
      <c r="B163" s="1" t="s">
        <v>302</v>
      </c>
      <c r="C163" s="7" t="s">
        <v>681</v>
      </c>
      <c r="D163" s="7" t="s">
        <v>682</v>
      </c>
      <c r="E163" s="7" t="s">
        <v>683</v>
      </c>
      <c r="F163" s="9" t="s">
        <v>107</v>
      </c>
      <c r="G163" s="1" t="s">
        <v>684</v>
      </c>
      <c r="H163" s="10"/>
      <c r="I163" s="10">
        <v>12</v>
      </c>
      <c r="J163" s="10"/>
      <c r="K163" s="10">
        <v>12</v>
      </c>
      <c r="L163" s="10"/>
      <c r="M163" s="10">
        <v>12</v>
      </c>
      <c r="N163" s="10"/>
      <c r="O163" s="7">
        <v>20</v>
      </c>
      <c r="P163" s="7"/>
      <c r="Q163" s="7"/>
      <c r="AB163" s="7"/>
    </row>
    <row r="164" spans="1:28" ht="28" x14ac:dyDescent="0.15">
      <c r="A164">
        <f t="shared" si="0"/>
        <v>0</v>
      </c>
      <c r="B164" s="1" t="s">
        <v>302</v>
      </c>
      <c r="C164" s="7" t="s">
        <v>685</v>
      </c>
      <c r="D164" s="7" t="s">
        <v>686</v>
      </c>
      <c r="E164" s="7" t="s">
        <v>687</v>
      </c>
      <c r="F164" s="9" t="s">
        <v>235</v>
      </c>
      <c r="G164" s="1" t="s">
        <v>688</v>
      </c>
      <c r="H164" s="10">
        <v>4</v>
      </c>
      <c r="I164" s="10"/>
      <c r="J164" s="10"/>
      <c r="K164" s="10"/>
      <c r="L164" s="10">
        <v>4</v>
      </c>
      <c r="M164" s="10">
        <v>4</v>
      </c>
      <c r="N164" s="10"/>
      <c r="O164" s="7">
        <v>5</v>
      </c>
      <c r="P164" s="7"/>
      <c r="Q164" s="7"/>
      <c r="AB164" s="7"/>
    </row>
    <row r="165" spans="1:28" ht="112" x14ac:dyDescent="0.15">
      <c r="A165">
        <f t="shared" si="0"/>
        <v>0</v>
      </c>
      <c r="B165" s="1" t="s">
        <v>302</v>
      </c>
      <c r="C165" s="7" t="s">
        <v>689</v>
      </c>
      <c r="D165" s="7" t="s">
        <v>690</v>
      </c>
      <c r="E165" s="7" t="s">
        <v>691</v>
      </c>
      <c r="F165" s="9" t="s">
        <v>107</v>
      </c>
      <c r="G165" s="1" t="s">
        <v>341</v>
      </c>
      <c r="H165" s="10">
        <v>6</v>
      </c>
      <c r="I165" s="10"/>
      <c r="J165" s="10"/>
      <c r="K165" s="10"/>
      <c r="L165" s="10"/>
      <c r="M165" s="10">
        <v>6</v>
      </c>
      <c r="N165" s="10"/>
      <c r="O165" s="7">
        <v>20</v>
      </c>
      <c r="P165" s="7"/>
      <c r="Q165" s="7"/>
      <c r="AB165" s="7"/>
    </row>
    <row r="166" spans="1:28" ht="42" x14ac:dyDescent="0.15">
      <c r="A166">
        <f t="shared" si="0"/>
        <v>0</v>
      </c>
      <c r="B166" s="1" t="s">
        <v>302</v>
      </c>
      <c r="C166" s="1" t="s">
        <v>692</v>
      </c>
      <c r="D166" s="7" t="s">
        <v>693</v>
      </c>
      <c r="E166" s="7" t="s">
        <v>694</v>
      </c>
      <c r="F166" s="9" t="s">
        <v>185</v>
      </c>
      <c r="G166" s="1" t="s">
        <v>695</v>
      </c>
      <c r="H166" s="10"/>
      <c r="I166" s="10"/>
      <c r="J166" s="10"/>
      <c r="K166" s="10"/>
      <c r="L166" s="10"/>
      <c r="M166" s="10"/>
      <c r="N166" s="10"/>
      <c r="O166" s="7">
        <v>30</v>
      </c>
      <c r="P166" s="7"/>
      <c r="Q166" s="7"/>
      <c r="AB166" s="7"/>
    </row>
    <row r="167" spans="1:28" ht="28" x14ac:dyDescent="0.15">
      <c r="A167">
        <f t="shared" si="0"/>
        <v>0</v>
      </c>
      <c r="B167" s="1" t="s">
        <v>302</v>
      </c>
      <c r="C167" s="7" t="s">
        <v>696</v>
      </c>
      <c r="D167" s="7" t="s">
        <v>697</v>
      </c>
      <c r="E167" s="7" t="s">
        <v>698</v>
      </c>
      <c r="F167" s="9" t="s">
        <v>235</v>
      </c>
      <c r="G167" s="1" t="s">
        <v>699</v>
      </c>
      <c r="H167" s="10"/>
      <c r="I167" s="10"/>
      <c r="J167" s="10"/>
      <c r="K167" s="10"/>
      <c r="L167" s="10"/>
      <c r="M167" s="10"/>
      <c r="N167" s="10"/>
      <c r="O167" s="7">
        <v>5</v>
      </c>
      <c r="P167" s="7"/>
      <c r="Q167" s="7"/>
      <c r="AB167" s="7"/>
    </row>
    <row r="168" spans="1:28" ht="42" x14ac:dyDescent="0.15">
      <c r="A168">
        <f t="shared" si="0"/>
        <v>0</v>
      </c>
      <c r="B168" s="16" t="s">
        <v>302</v>
      </c>
      <c r="C168" s="16" t="s">
        <v>700</v>
      </c>
      <c r="D168" s="16" t="s">
        <v>701</v>
      </c>
      <c r="E168" s="16" t="s">
        <v>702</v>
      </c>
      <c r="F168" s="24" t="s">
        <v>27</v>
      </c>
      <c r="G168" s="19" t="s">
        <v>703</v>
      </c>
      <c r="H168" s="20"/>
      <c r="I168" s="20"/>
      <c r="J168" s="20"/>
      <c r="K168" s="20"/>
      <c r="L168" s="20"/>
      <c r="M168" s="20"/>
      <c r="N168" s="20"/>
      <c r="O168" s="21">
        <v>10</v>
      </c>
      <c r="P168" s="19"/>
      <c r="Q168" s="7"/>
      <c r="AB168" s="7"/>
    </row>
    <row r="169" spans="1:28" ht="70" x14ac:dyDescent="0.15">
      <c r="A169">
        <f t="shared" si="0"/>
        <v>0</v>
      </c>
      <c r="B169" s="1" t="s">
        <v>302</v>
      </c>
      <c r="C169" s="7" t="s">
        <v>704</v>
      </c>
      <c r="D169" s="7" t="s">
        <v>705</v>
      </c>
      <c r="E169" s="7" t="s">
        <v>706</v>
      </c>
      <c r="F169" s="9" t="s">
        <v>39</v>
      </c>
      <c r="G169" s="1" t="s">
        <v>707</v>
      </c>
      <c r="H169" s="10"/>
      <c r="I169" s="10"/>
      <c r="J169" s="10"/>
      <c r="K169" s="10"/>
      <c r="L169" s="10"/>
      <c r="M169" s="10"/>
      <c r="N169" s="10"/>
      <c r="O169" s="7">
        <v>15</v>
      </c>
      <c r="P169" s="7"/>
      <c r="Q169" s="7"/>
      <c r="AB169" s="7"/>
    </row>
    <row r="170" spans="1:28" ht="56" x14ac:dyDescent="0.15">
      <c r="A170">
        <f t="shared" si="0"/>
        <v>0</v>
      </c>
      <c r="B170" s="1" t="s">
        <v>302</v>
      </c>
      <c r="C170" s="7" t="s">
        <v>708</v>
      </c>
      <c r="D170" s="1" t="s">
        <v>709</v>
      </c>
      <c r="E170" s="7" t="s">
        <v>710</v>
      </c>
      <c r="F170" s="9" t="s">
        <v>27</v>
      </c>
      <c r="G170" s="1" t="s">
        <v>711</v>
      </c>
      <c r="H170" s="10"/>
      <c r="I170" s="10">
        <v>12</v>
      </c>
      <c r="J170" s="10"/>
      <c r="K170" s="10"/>
      <c r="L170" s="10"/>
      <c r="M170" s="10">
        <v>12</v>
      </c>
      <c r="N170" s="10"/>
      <c r="O170" s="7">
        <v>5</v>
      </c>
      <c r="P170" s="7"/>
      <c r="Q170" s="7"/>
      <c r="AB170" s="7"/>
    </row>
    <row r="171" spans="1:28" ht="56" x14ac:dyDescent="0.15">
      <c r="A171">
        <f t="shared" si="0"/>
        <v>0</v>
      </c>
      <c r="B171" s="1" t="s">
        <v>302</v>
      </c>
      <c r="C171" s="7" t="s">
        <v>712</v>
      </c>
      <c r="D171" s="7" t="s">
        <v>713</v>
      </c>
      <c r="E171" s="7" t="s">
        <v>714</v>
      </c>
      <c r="F171" s="9" t="s">
        <v>27</v>
      </c>
      <c r="G171" s="1" t="s">
        <v>715</v>
      </c>
      <c r="H171" s="10"/>
      <c r="I171" s="10">
        <v>8</v>
      </c>
      <c r="J171" s="10"/>
      <c r="K171" s="10">
        <v>8</v>
      </c>
      <c r="L171" s="10"/>
      <c r="M171" s="10">
        <v>8</v>
      </c>
      <c r="N171" s="10"/>
      <c r="O171" s="7">
        <v>10</v>
      </c>
      <c r="P171" s="7"/>
      <c r="Q171" s="7"/>
      <c r="AB171" s="7"/>
    </row>
    <row r="172" spans="1:28" ht="196" x14ac:dyDescent="0.15">
      <c r="A172">
        <f t="shared" si="0"/>
        <v>0</v>
      </c>
      <c r="B172" s="1" t="s">
        <v>302</v>
      </c>
      <c r="C172" s="7" t="s">
        <v>716</v>
      </c>
      <c r="D172" s="7" t="s">
        <v>717</v>
      </c>
      <c r="E172" s="7" t="s">
        <v>718</v>
      </c>
      <c r="F172" s="9" t="s">
        <v>107</v>
      </c>
      <c r="G172" s="1" t="s">
        <v>719</v>
      </c>
      <c r="H172" s="10"/>
      <c r="I172" s="10"/>
      <c r="J172" s="10"/>
      <c r="K172" s="10"/>
      <c r="L172" s="10"/>
      <c r="M172" s="10"/>
      <c r="N172" s="10"/>
      <c r="O172" s="7"/>
      <c r="P172" s="7"/>
      <c r="Q172" s="7"/>
      <c r="AB172" s="7"/>
    </row>
    <row r="173" spans="1:28" ht="42" x14ac:dyDescent="0.15">
      <c r="A173">
        <f t="shared" si="0"/>
        <v>0</v>
      </c>
      <c r="B173" s="1" t="s">
        <v>302</v>
      </c>
      <c r="C173" s="7" t="s">
        <v>720</v>
      </c>
      <c r="D173" s="7" t="s">
        <v>721</v>
      </c>
      <c r="E173" s="7" t="s">
        <v>722</v>
      </c>
      <c r="F173" s="9" t="s">
        <v>235</v>
      </c>
      <c r="G173" s="1" t="s">
        <v>723</v>
      </c>
      <c r="H173" s="10"/>
      <c r="I173" s="10"/>
      <c r="J173" s="10"/>
      <c r="K173" s="10"/>
      <c r="L173" s="10"/>
      <c r="M173" s="10"/>
      <c r="N173" s="10"/>
      <c r="O173" s="7">
        <v>5</v>
      </c>
      <c r="P173" s="7"/>
      <c r="Q173" s="7"/>
      <c r="AB173" s="7"/>
    </row>
    <row r="174" spans="1:28" ht="238" x14ac:dyDescent="0.15">
      <c r="A174">
        <f t="shared" si="0"/>
        <v>0</v>
      </c>
      <c r="B174" s="1" t="s">
        <v>302</v>
      </c>
      <c r="C174" s="7" t="s">
        <v>724</v>
      </c>
      <c r="D174" s="7" t="s">
        <v>725</v>
      </c>
      <c r="E174" s="7" t="s">
        <v>726</v>
      </c>
      <c r="F174" s="9" t="s">
        <v>27</v>
      </c>
      <c r="G174" s="1" t="s">
        <v>727</v>
      </c>
      <c r="H174" s="10"/>
      <c r="I174" s="10"/>
      <c r="J174" s="10"/>
      <c r="K174" s="10"/>
      <c r="L174" s="10"/>
      <c r="M174" s="10"/>
      <c r="N174" s="10"/>
      <c r="O174" s="7">
        <v>10</v>
      </c>
      <c r="P174" s="7"/>
      <c r="Q174" s="7"/>
      <c r="AB174" s="7"/>
    </row>
    <row r="175" spans="1:28" ht="70" x14ac:dyDescent="0.15">
      <c r="A175">
        <f t="shared" si="0"/>
        <v>0</v>
      </c>
      <c r="B175" s="1" t="s">
        <v>302</v>
      </c>
      <c r="C175" s="7" t="s">
        <v>728</v>
      </c>
      <c r="D175" s="7" t="s">
        <v>729</v>
      </c>
      <c r="E175" s="7" t="s">
        <v>730</v>
      </c>
      <c r="F175" s="9" t="s">
        <v>235</v>
      </c>
      <c r="G175" s="1" t="s">
        <v>731</v>
      </c>
      <c r="H175" s="10"/>
      <c r="I175" s="10"/>
      <c r="J175" s="10"/>
      <c r="K175" s="10"/>
      <c r="L175" s="10"/>
      <c r="M175" s="10"/>
      <c r="N175" s="10"/>
      <c r="O175" s="7">
        <v>5</v>
      </c>
      <c r="P175" s="7"/>
      <c r="Q175" s="7"/>
      <c r="AB175" s="7"/>
    </row>
    <row r="176" spans="1:28" ht="56" x14ac:dyDescent="0.15">
      <c r="A176">
        <f t="shared" si="0"/>
        <v>0</v>
      </c>
      <c r="B176" s="1" t="s">
        <v>302</v>
      </c>
      <c r="C176" s="7" t="s">
        <v>732</v>
      </c>
      <c r="D176" s="7" t="s">
        <v>733</v>
      </c>
      <c r="E176" s="7" t="s">
        <v>734</v>
      </c>
      <c r="F176" s="9" t="s">
        <v>735</v>
      </c>
      <c r="G176" s="1" t="s">
        <v>736</v>
      </c>
      <c r="H176" s="10"/>
      <c r="I176" s="10"/>
      <c r="J176" s="10"/>
      <c r="K176" s="10">
        <v>2</v>
      </c>
      <c r="L176" s="10">
        <v>2</v>
      </c>
      <c r="M176" s="10">
        <v>2</v>
      </c>
      <c r="N176" s="10"/>
      <c r="O176" s="7">
        <v>4</v>
      </c>
      <c r="P176" s="7"/>
      <c r="Q176" s="7"/>
      <c r="AB176" s="7"/>
    </row>
    <row r="177" spans="1:28" ht="84" x14ac:dyDescent="0.15">
      <c r="A177">
        <f t="shared" si="0"/>
        <v>0</v>
      </c>
      <c r="B177" s="1" t="s">
        <v>302</v>
      </c>
      <c r="C177" s="7" t="s">
        <v>737</v>
      </c>
      <c r="D177" s="7" t="s">
        <v>738</v>
      </c>
      <c r="E177" s="7" t="s">
        <v>739</v>
      </c>
      <c r="F177" s="9" t="s">
        <v>740</v>
      </c>
      <c r="G177" s="1" t="s">
        <v>291</v>
      </c>
      <c r="H177" s="10">
        <v>2</v>
      </c>
      <c r="I177" s="10"/>
      <c r="J177" s="10"/>
      <c r="K177" s="10"/>
      <c r="L177" s="10">
        <v>2</v>
      </c>
      <c r="M177" s="10">
        <v>2</v>
      </c>
      <c r="N177" s="10"/>
      <c r="O177" s="7">
        <v>30</v>
      </c>
      <c r="P177" s="7">
        <v>60</v>
      </c>
      <c r="Q177" s="7">
        <v>90</v>
      </c>
      <c r="R177" s="1">
        <v>120</v>
      </c>
      <c r="S177" s="1">
        <v>150</v>
      </c>
      <c r="AB177" s="7"/>
    </row>
    <row r="178" spans="1:28" ht="140" x14ac:dyDescent="0.15">
      <c r="A178">
        <f t="shared" si="0"/>
        <v>0</v>
      </c>
      <c r="B178" s="1" t="s">
        <v>302</v>
      </c>
      <c r="C178" s="7" t="s">
        <v>741</v>
      </c>
      <c r="D178" s="7" t="s">
        <v>742</v>
      </c>
      <c r="E178" s="7" t="s">
        <v>743</v>
      </c>
      <c r="F178" s="9" t="s">
        <v>27</v>
      </c>
      <c r="G178" s="1" t="s">
        <v>744</v>
      </c>
      <c r="H178" s="10">
        <v>8</v>
      </c>
      <c r="I178" s="10"/>
      <c r="J178" s="10">
        <v>8</v>
      </c>
      <c r="K178" s="10"/>
      <c r="L178" s="10"/>
      <c r="M178" s="10">
        <v>8</v>
      </c>
      <c r="N178" s="10"/>
      <c r="O178" s="7">
        <v>10</v>
      </c>
      <c r="P178" s="7"/>
      <c r="Q178" s="7"/>
      <c r="AB178" s="7"/>
    </row>
    <row r="179" spans="1:28" ht="98" x14ac:dyDescent="0.15">
      <c r="A179">
        <f t="shared" si="0"/>
        <v>0</v>
      </c>
      <c r="B179" s="1" t="s">
        <v>302</v>
      </c>
      <c r="C179" s="7" t="s">
        <v>745</v>
      </c>
      <c r="D179" s="7" t="s">
        <v>746</v>
      </c>
      <c r="E179" s="7" t="s">
        <v>747</v>
      </c>
      <c r="F179" s="9" t="s">
        <v>39</v>
      </c>
      <c r="G179" s="1" t="s">
        <v>337</v>
      </c>
      <c r="H179" s="10"/>
      <c r="I179" s="10"/>
      <c r="J179" s="10"/>
      <c r="K179" s="10"/>
      <c r="L179" s="10"/>
      <c r="M179" s="10"/>
      <c r="N179" s="10"/>
      <c r="O179" s="7">
        <v>15</v>
      </c>
      <c r="P179" s="7"/>
      <c r="Q179" s="7"/>
      <c r="AB179" s="7"/>
    </row>
    <row r="180" spans="1:28" ht="98" x14ac:dyDescent="0.15">
      <c r="A180">
        <f t="shared" si="0"/>
        <v>0</v>
      </c>
      <c r="B180" s="1" t="s">
        <v>302</v>
      </c>
      <c r="C180" s="7" t="s">
        <v>748</v>
      </c>
      <c r="D180" s="7" t="s">
        <v>749</v>
      </c>
      <c r="E180" s="7" t="s">
        <v>750</v>
      </c>
      <c r="F180" s="9" t="s">
        <v>27</v>
      </c>
      <c r="G180" s="1" t="s">
        <v>751</v>
      </c>
      <c r="H180" s="10">
        <v>6</v>
      </c>
      <c r="I180" s="10"/>
      <c r="J180" s="10"/>
      <c r="K180" s="10"/>
      <c r="L180" s="10"/>
      <c r="M180" s="10">
        <v>6</v>
      </c>
      <c r="N180" s="10"/>
      <c r="O180" s="7">
        <v>10</v>
      </c>
      <c r="P180" s="7"/>
      <c r="Q180" s="7"/>
      <c r="AB180" s="7"/>
    </row>
    <row r="181" spans="1:28" ht="112" x14ac:dyDescent="0.15">
      <c r="A181">
        <f t="shared" si="0"/>
        <v>0</v>
      </c>
      <c r="B181" s="1" t="s">
        <v>302</v>
      </c>
      <c r="C181" s="7" t="s">
        <v>752</v>
      </c>
      <c r="D181" s="7" t="s">
        <v>753</v>
      </c>
      <c r="E181" s="7" t="s">
        <v>754</v>
      </c>
      <c r="F181" s="9" t="s">
        <v>27</v>
      </c>
      <c r="G181" s="1" t="s">
        <v>755</v>
      </c>
      <c r="H181" s="10"/>
      <c r="I181" s="10"/>
      <c r="J181" s="10"/>
      <c r="K181" s="10"/>
      <c r="L181" s="10"/>
      <c r="M181" s="10"/>
      <c r="N181" s="10"/>
      <c r="O181" s="7">
        <v>10</v>
      </c>
      <c r="P181" s="7"/>
      <c r="Q181" s="7"/>
      <c r="AB181" s="7"/>
    </row>
    <row r="182" spans="1:28" ht="56" x14ac:dyDescent="0.15">
      <c r="A182">
        <f t="shared" si="0"/>
        <v>0</v>
      </c>
      <c r="B182" s="1" t="s">
        <v>302</v>
      </c>
      <c r="C182" s="7" t="s">
        <v>756</v>
      </c>
      <c r="D182" s="7" t="s">
        <v>757</v>
      </c>
      <c r="E182" s="7" t="s">
        <v>758</v>
      </c>
      <c r="F182" s="9" t="s">
        <v>39</v>
      </c>
      <c r="G182" s="1" t="s">
        <v>759</v>
      </c>
      <c r="H182" s="10">
        <v>8</v>
      </c>
      <c r="I182" s="10"/>
      <c r="J182" s="10"/>
      <c r="K182" s="10"/>
      <c r="L182" s="10">
        <v>8</v>
      </c>
      <c r="M182" s="10">
        <v>8</v>
      </c>
      <c r="N182" s="10"/>
      <c r="O182" s="7">
        <v>15</v>
      </c>
      <c r="P182" s="7"/>
      <c r="Q182" s="7"/>
      <c r="AB182" s="7"/>
    </row>
    <row r="183" spans="1:28" ht="28" x14ac:dyDescent="0.15">
      <c r="A183">
        <f t="shared" si="0"/>
        <v>0</v>
      </c>
      <c r="B183" s="1" t="s">
        <v>302</v>
      </c>
      <c r="C183" s="7" t="s">
        <v>760</v>
      </c>
      <c r="D183" s="7" t="s">
        <v>761</v>
      </c>
      <c r="E183" s="7" t="s">
        <v>761</v>
      </c>
      <c r="F183" s="9" t="s">
        <v>27</v>
      </c>
      <c r="G183" s="1" t="s">
        <v>186</v>
      </c>
      <c r="H183" s="10">
        <v>8</v>
      </c>
      <c r="I183" s="10"/>
      <c r="J183" s="10"/>
      <c r="K183" s="10"/>
      <c r="L183" s="10"/>
      <c r="M183" s="10">
        <v>8</v>
      </c>
      <c r="N183" s="10"/>
      <c r="O183" s="7">
        <v>10</v>
      </c>
      <c r="P183" s="7"/>
      <c r="Q183" s="7"/>
      <c r="AB183" s="7"/>
    </row>
    <row r="184" spans="1:28" ht="42" x14ac:dyDescent="0.15">
      <c r="A184">
        <f t="shared" si="0"/>
        <v>0</v>
      </c>
      <c r="B184" s="1" t="s">
        <v>302</v>
      </c>
      <c r="C184" s="7" t="s">
        <v>762</v>
      </c>
      <c r="D184" s="7" t="s">
        <v>763</v>
      </c>
      <c r="E184" s="7" t="s">
        <v>764</v>
      </c>
      <c r="F184" s="9" t="s">
        <v>39</v>
      </c>
      <c r="G184" s="1" t="s">
        <v>765</v>
      </c>
      <c r="H184" s="10"/>
      <c r="I184" s="10"/>
      <c r="J184" s="10">
        <v>10</v>
      </c>
      <c r="K184" s="10"/>
      <c r="L184" s="10"/>
      <c r="M184" s="10">
        <v>10</v>
      </c>
      <c r="N184" s="10"/>
      <c r="O184" s="7">
        <v>15</v>
      </c>
      <c r="P184" s="7"/>
      <c r="Q184" s="7"/>
      <c r="AB184" s="7"/>
    </row>
    <row r="185" spans="1:28" ht="98" x14ac:dyDescent="0.15">
      <c r="A185">
        <f t="shared" si="0"/>
        <v>0</v>
      </c>
      <c r="B185" s="1" t="s">
        <v>302</v>
      </c>
      <c r="C185" s="7" t="s">
        <v>766</v>
      </c>
      <c r="D185" s="25" t="s">
        <v>767</v>
      </c>
      <c r="E185" s="7" t="s">
        <v>768</v>
      </c>
      <c r="F185" s="9" t="s">
        <v>27</v>
      </c>
      <c r="G185" s="1" t="s">
        <v>528</v>
      </c>
      <c r="H185" s="10"/>
      <c r="I185" s="10"/>
      <c r="J185" s="10"/>
      <c r="K185" s="10">
        <v>10</v>
      </c>
      <c r="L185" s="10">
        <v>10</v>
      </c>
      <c r="M185" s="10">
        <v>10</v>
      </c>
      <c r="N185" s="10"/>
      <c r="O185" s="7">
        <v>10</v>
      </c>
      <c r="P185" s="7"/>
      <c r="Q185" s="7"/>
      <c r="AB185" s="7"/>
    </row>
    <row r="186" spans="1:28" ht="56" x14ac:dyDescent="0.15">
      <c r="A186">
        <f t="shared" si="0"/>
        <v>0</v>
      </c>
      <c r="B186" s="1" t="s">
        <v>302</v>
      </c>
      <c r="C186" s="7" t="s">
        <v>769</v>
      </c>
      <c r="D186" s="7" t="s">
        <v>770</v>
      </c>
      <c r="E186" s="7" t="s">
        <v>771</v>
      </c>
      <c r="F186" s="9" t="s">
        <v>389</v>
      </c>
      <c r="G186" s="1" t="s">
        <v>772</v>
      </c>
      <c r="H186" s="10"/>
      <c r="I186" s="10">
        <v>20</v>
      </c>
      <c r="J186" s="10"/>
      <c r="K186" s="10"/>
      <c r="L186" s="10"/>
      <c r="M186" s="10">
        <v>20</v>
      </c>
      <c r="N186" s="10"/>
      <c r="O186" s="7">
        <v>60</v>
      </c>
      <c r="P186" s="7"/>
      <c r="Q186" s="7"/>
      <c r="AB186" s="7"/>
    </row>
    <row r="187" spans="1:28" ht="98" x14ac:dyDescent="0.15">
      <c r="A187">
        <f t="shared" si="0"/>
        <v>0</v>
      </c>
      <c r="B187" s="1" t="s">
        <v>302</v>
      </c>
      <c r="C187" s="7" t="s">
        <v>773</v>
      </c>
      <c r="D187" s="7" t="s">
        <v>774</v>
      </c>
      <c r="E187" s="7" t="s">
        <v>775</v>
      </c>
      <c r="F187" s="9" t="s">
        <v>235</v>
      </c>
      <c r="G187" s="1" t="s">
        <v>378</v>
      </c>
      <c r="H187" s="10"/>
      <c r="I187" s="10"/>
      <c r="J187" s="10"/>
      <c r="K187" s="10">
        <v>6</v>
      </c>
      <c r="L187" s="10"/>
      <c r="M187" s="10">
        <v>6</v>
      </c>
      <c r="N187" s="10"/>
      <c r="O187" s="7">
        <v>5</v>
      </c>
      <c r="P187" s="7"/>
      <c r="Q187" s="7"/>
      <c r="AB187" s="7"/>
    </row>
    <row r="188" spans="1:28" ht="42" x14ac:dyDescent="0.15">
      <c r="A188">
        <f t="shared" si="0"/>
        <v>0</v>
      </c>
      <c r="B188" s="1" t="s">
        <v>302</v>
      </c>
      <c r="C188" s="7" t="s">
        <v>776</v>
      </c>
      <c r="D188" s="7" t="s">
        <v>777</v>
      </c>
      <c r="E188" s="7" t="s">
        <v>778</v>
      </c>
      <c r="F188" s="9" t="s">
        <v>235</v>
      </c>
      <c r="G188" s="1" t="s">
        <v>779</v>
      </c>
      <c r="H188" s="10"/>
      <c r="I188" s="10"/>
      <c r="J188" s="10"/>
      <c r="K188" s="10">
        <v>6</v>
      </c>
      <c r="L188" s="10">
        <v>6</v>
      </c>
      <c r="M188" s="10">
        <v>6</v>
      </c>
      <c r="N188" s="10"/>
      <c r="O188" s="7">
        <v>5</v>
      </c>
      <c r="P188" s="7"/>
      <c r="Q188" s="7"/>
      <c r="AB188" s="7"/>
    </row>
    <row r="189" spans="1:28" ht="98" x14ac:dyDescent="0.15">
      <c r="A189">
        <f t="shared" si="0"/>
        <v>0</v>
      </c>
      <c r="B189" s="1" t="s">
        <v>302</v>
      </c>
      <c r="C189" s="7" t="s">
        <v>780</v>
      </c>
      <c r="D189" s="7" t="s">
        <v>781</v>
      </c>
      <c r="E189" s="7" t="s">
        <v>782</v>
      </c>
      <c r="F189" s="9" t="s">
        <v>783</v>
      </c>
      <c r="G189" s="1" t="s">
        <v>784</v>
      </c>
      <c r="H189" s="10"/>
      <c r="I189" s="10"/>
      <c r="J189" s="10"/>
      <c r="K189" s="10">
        <v>6</v>
      </c>
      <c r="L189" s="10">
        <v>6</v>
      </c>
      <c r="M189" s="10">
        <v>6</v>
      </c>
      <c r="N189" s="10"/>
      <c r="O189" s="7">
        <v>5</v>
      </c>
      <c r="P189" s="7">
        <v>15</v>
      </c>
      <c r="Q189" s="7"/>
      <c r="AB189" s="7"/>
    </row>
    <row r="190" spans="1:28" ht="98" x14ac:dyDescent="0.15">
      <c r="A190">
        <f t="shared" si="0"/>
        <v>0</v>
      </c>
      <c r="B190" s="1" t="s">
        <v>302</v>
      </c>
      <c r="C190" s="7" t="s">
        <v>785</v>
      </c>
      <c r="D190" s="7" t="s">
        <v>786</v>
      </c>
      <c r="E190" s="7" t="s">
        <v>787</v>
      </c>
      <c r="F190" s="9" t="s">
        <v>423</v>
      </c>
      <c r="G190" s="1" t="s">
        <v>788</v>
      </c>
      <c r="H190" s="10"/>
      <c r="I190" s="10"/>
      <c r="J190" s="10"/>
      <c r="K190" s="10">
        <v>8</v>
      </c>
      <c r="L190" s="10"/>
      <c r="M190" s="10">
        <v>8</v>
      </c>
      <c r="N190" s="10"/>
      <c r="O190" s="7">
        <v>20</v>
      </c>
      <c r="P190" s="7">
        <v>60</v>
      </c>
      <c r="Q190" s="7"/>
      <c r="AB190" s="7"/>
    </row>
    <row r="191" spans="1:28" ht="112" x14ac:dyDescent="0.15">
      <c r="A191">
        <f t="shared" si="0"/>
        <v>0</v>
      </c>
      <c r="B191" s="1" t="s">
        <v>302</v>
      </c>
      <c r="C191" s="7" t="s">
        <v>789</v>
      </c>
      <c r="D191" s="7" t="s">
        <v>790</v>
      </c>
      <c r="E191" s="7" t="s">
        <v>791</v>
      </c>
      <c r="F191" s="9" t="s">
        <v>107</v>
      </c>
      <c r="G191" s="1" t="s">
        <v>792</v>
      </c>
      <c r="H191" s="10"/>
      <c r="I191" s="10"/>
      <c r="J191" s="10"/>
      <c r="K191" s="10"/>
      <c r="L191" s="10"/>
      <c r="M191" s="10"/>
      <c r="N191" s="10"/>
      <c r="O191" s="7">
        <v>20</v>
      </c>
      <c r="P191" s="7"/>
      <c r="Q191" s="7"/>
      <c r="AB191" s="7"/>
    </row>
    <row r="192" spans="1:28" ht="98" x14ac:dyDescent="0.15">
      <c r="A192">
        <f t="shared" si="0"/>
        <v>0</v>
      </c>
      <c r="B192" s="1" t="s">
        <v>302</v>
      </c>
      <c r="C192" s="7" t="s">
        <v>793</v>
      </c>
      <c r="D192" s="7" t="s">
        <v>794</v>
      </c>
      <c r="E192" s="7" t="s">
        <v>795</v>
      </c>
      <c r="F192" s="9" t="s">
        <v>39</v>
      </c>
      <c r="G192" s="1" t="s">
        <v>796</v>
      </c>
      <c r="H192" s="10"/>
      <c r="I192" s="10"/>
      <c r="J192" s="10"/>
      <c r="K192" s="10"/>
      <c r="L192" s="10"/>
      <c r="M192" s="10"/>
      <c r="N192" s="10"/>
      <c r="O192" s="7">
        <v>15</v>
      </c>
      <c r="P192" s="7"/>
      <c r="Q192" s="7"/>
      <c r="R192" s="7"/>
      <c r="S192" s="7"/>
      <c r="T192" s="7"/>
      <c r="AB192" s="7"/>
    </row>
    <row r="193" spans="1:28" ht="126" x14ac:dyDescent="0.15">
      <c r="A193">
        <f t="shared" si="0"/>
        <v>0</v>
      </c>
      <c r="B193" s="1" t="s">
        <v>302</v>
      </c>
      <c r="C193" s="7" t="s">
        <v>797</v>
      </c>
      <c r="D193" s="7" t="s">
        <v>798</v>
      </c>
      <c r="E193" s="7" t="s">
        <v>799</v>
      </c>
      <c r="F193" s="9" t="s">
        <v>235</v>
      </c>
      <c r="G193" s="1" t="s">
        <v>800</v>
      </c>
      <c r="H193" s="10">
        <v>10</v>
      </c>
      <c r="I193" s="10"/>
      <c r="J193" s="10"/>
      <c r="K193" s="10"/>
      <c r="L193" s="10"/>
      <c r="M193" s="10">
        <v>10</v>
      </c>
      <c r="N193" s="10"/>
      <c r="O193" s="7">
        <v>5</v>
      </c>
      <c r="P193" s="7"/>
      <c r="Q193" s="7"/>
      <c r="AB193" s="7"/>
    </row>
    <row r="194" spans="1:28" ht="42" x14ac:dyDescent="0.15">
      <c r="A194">
        <f t="shared" si="0"/>
        <v>0</v>
      </c>
      <c r="B194" s="1" t="s">
        <v>302</v>
      </c>
      <c r="C194" s="7" t="s">
        <v>801</v>
      </c>
      <c r="D194" s="7" t="s">
        <v>802</v>
      </c>
      <c r="E194" s="7" t="s">
        <v>803</v>
      </c>
      <c r="F194" s="9" t="s">
        <v>360</v>
      </c>
      <c r="G194" s="1" t="s">
        <v>804</v>
      </c>
      <c r="H194" s="10"/>
      <c r="I194" s="10">
        <v>6</v>
      </c>
      <c r="J194" s="10"/>
      <c r="K194" s="10"/>
      <c r="L194" s="10"/>
      <c r="M194" s="10">
        <v>6</v>
      </c>
      <c r="N194" s="10"/>
      <c r="O194" s="7">
        <v>5</v>
      </c>
      <c r="P194" s="7"/>
      <c r="Q194" s="7"/>
      <c r="Y194" s="1" t="s">
        <v>805</v>
      </c>
    </row>
    <row r="195" spans="1:28" ht="98" x14ac:dyDescent="0.15">
      <c r="A195">
        <f t="shared" si="0"/>
        <v>0</v>
      </c>
      <c r="B195" s="1" t="s">
        <v>302</v>
      </c>
      <c r="C195" s="7" t="s">
        <v>806</v>
      </c>
      <c r="D195" s="7" t="s">
        <v>807</v>
      </c>
      <c r="E195" s="7" t="s">
        <v>808</v>
      </c>
      <c r="F195" s="9" t="s">
        <v>27</v>
      </c>
      <c r="G195" s="1" t="s">
        <v>488</v>
      </c>
      <c r="H195" s="10"/>
      <c r="I195" s="10"/>
      <c r="J195" s="10"/>
      <c r="K195" s="10"/>
      <c r="L195" s="10">
        <v>6</v>
      </c>
      <c r="M195" s="10">
        <v>6</v>
      </c>
      <c r="N195" s="10"/>
      <c r="O195" s="7">
        <v>10</v>
      </c>
      <c r="P195" s="7"/>
      <c r="Q195" s="7"/>
      <c r="AB195" s="7"/>
    </row>
    <row r="196" spans="1:28" ht="42" x14ac:dyDescent="0.15">
      <c r="A196">
        <f t="shared" si="0"/>
        <v>0</v>
      </c>
      <c r="B196" s="12" t="s">
        <v>302</v>
      </c>
      <c r="C196" s="13" t="s">
        <v>809</v>
      </c>
      <c r="D196" s="13" t="s">
        <v>810</v>
      </c>
      <c r="E196" s="13" t="s">
        <v>811</v>
      </c>
      <c r="F196" s="14" t="s">
        <v>27</v>
      </c>
      <c r="G196" s="12" t="s">
        <v>812</v>
      </c>
      <c r="H196" s="15"/>
      <c r="I196" s="15"/>
      <c r="J196" s="15"/>
      <c r="K196" s="15"/>
      <c r="L196" s="15"/>
      <c r="M196" s="15"/>
      <c r="N196" s="15"/>
      <c r="O196" s="13">
        <v>10</v>
      </c>
      <c r="P196" s="7"/>
      <c r="Q196" s="7"/>
      <c r="AB196" s="7"/>
    </row>
    <row r="197" spans="1:28" ht="28" x14ac:dyDescent="0.15">
      <c r="A197">
        <f t="shared" si="0"/>
        <v>0</v>
      </c>
      <c r="B197" s="1" t="s">
        <v>302</v>
      </c>
      <c r="C197" s="7" t="s">
        <v>813</v>
      </c>
      <c r="D197" s="7" t="s">
        <v>814</v>
      </c>
      <c r="E197" s="7" t="s">
        <v>815</v>
      </c>
      <c r="F197" s="9" t="s">
        <v>235</v>
      </c>
      <c r="G197" s="1" t="s">
        <v>816</v>
      </c>
      <c r="H197" s="10"/>
      <c r="I197" s="10"/>
      <c r="J197" s="10"/>
      <c r="K197" s="10"/>
      <c r="L197" s="10"/>
      <c r="M197" s="10"/>
      <c r="N197" s="10"/>
      <c r="O197" s="7">
        <v>5</v>
      </c>
      <c r="P197" s="7"/>
      <c r="Q197" s="7"/>
      <c r="AB197" s="7"/>
    </row>
    <row r="198" spans="1:28" ht="42" x14ac:dyDescent="0.15">
      <c r="A198">
        <f t="shared" si="0"/>
        <v>0</v>
      </c>
      <c r="B198" s="1" t="s">
        <v>302</v>
      </c>
      <c r="C198" s="7" t="s">
        <v>817</v>
      </c>
      <c r="D198" s="7" t="s">
        <v>818</v>
      </c>
      <c r="E198" s="7" t="s">
        <v>819</v>
      </c>
      <c r="F198" s="9" t="s">
        <v>27</v>
      </c>
      <c r="G198" s="1" t="s">
        <v>820</v>
      </c>
      <c r="H198" s="10">
        <v>6</v>
      </c>
      <c r="I198" s="10"/>
      <c r="J198" s="10"/>
      <c r="K198" s="10"/>
      <c r="L198" s="10">
        <v>6</v>
      </c>
      <c r="M198" s="10">
        <v>6</v>
      </c>
      <c r="N198" s="10"/>
      <c r="O198" s="7">
        <v>10</v>
      </c>
      <c r="P198" s="7"/>
      <c r="Q198" s="7"/>
      <c r="AB198" s="7"/>
    </row>
    <row r="199" spans="1:28" ht="140" x14ac:dyDescent="0.15">
      <c r="A199">
        <f t="shared" si="0"/>
        <v>0</v>
      </c>
      <c r="B199" s="7" t="s">
        <v>302</v>
      </c>
      <c r="C199" s="7" t="s">
        <v>821</v>
      </c>
      <c r="D199" s="7" t="s">
        <v>822</v>
      </c>
      <c r="E199" s="7" t="s">
        <v>823</v>
      </c>
      <c r="F199" s="9" t="s">
        <v>824</v>
      </c>
      <c r="G199" s="1" t="s">
        <v>825</v>
      </c>
      <c r="H199" s="10"/>
      <c r="I199" s="10"/>
      <c r="J199" s="10"/>
      <c r="K199" s="10">
        <v>4</v>
      </c>
      <c r="L199" s="10"/>
      <c r="M199" s="10">
        <v>4</v>
      </c>
      <c r="N199" s="10"/>
      <c r="O199" s="7">
        <v>5</v>
      </c>
      <c r="P199" s="7">
        <v>15</v>
      </c>
      <c r="Q199" s="7"/>
      <c r="AB199" s="7"/>
    </row>
    <row r="200" spans="1:28" ht="42" x14ac:dyDescent="0.15">
      <c r="A200">
        <f t="shared" si="0"/>
        <v>0</v>
      </c>
      <c r="B200" s="1" t="s">
        <v>302</v>
      </c>
      <c r="C200" s="7" t="s">
        <v>826</v>
      </c>
      <c r="D200" s="7" t="s">
        <v>827</v>
      </c>
      <c r="E200" s="7" t="s">
        <v>828</v>
      </c>
      <c r="F200" s="9" t="s">
        <v>27</v>
      </c>
      <c r="G200" s="1" t="s">
        <v>829</v>
      </c>
      <c r="H200" s="10"/>
      <c r="I200" s="10"/>
      <c r="J200" s="10"/>
      <c r="K200" s="10"/>
      <c r="L200" s="10"/>
      <c r="M200" s="10"/>
      <c r="N200" s="10"/>
      <c r="O200" s="7">
        <v>10</v>
      </c>
      <c r="P200" s="7"/>
      <c r="Q200" s="7"/>
      <c r="AB200" s="7"/>
    </row>
    <row r="201" spans="1:28" ht="42" x14ac:dyDescent="0.15">
      <c r="A201">
        <f t="shared" si="0"/>
        <v>0</v>
      </c>
      <c r="B201" s="1" t="s">
        <v>830</v>
      </c>
      <c r="C201" s="7" t="s">
        <v>831</v>
      </c>
      <c r="D201" s="7" t="s">
        <v>832</v>
      </c>
      <c r="E201" s="7" t="s">
        <v>833</v>
      </c>
      <c r="F201" s="9" t="s">
        <v>27</v>
      </c>
      <c r="G201" s="1" t="s">
        <v>535</v>
      </c>
      <c r="H201" s="10"/>
      <c r="I201" s="10"/>
      <c r="J201" s="10"/>
      <c r="K201" s="10"/>
      <c r="L201" s="10"/>
      <c r="M201" s="10"/>
      <c r="N201" s="10"/>
      <c r="O201" s="7">
        <v>10</v>
      </c>
      <c r="P201" s="7"/>
      <c r="Q201" s="7"/>
      <c r="AB201" s="7"/>
    </row>
    <row r="202" spans="1:28" ht="56" x14ac:dyDescent="0.15">
      <c r="A202">
        <f t="shared" si="0"/>
        <v>0</v>
      </c>
      <c r="B202" s="1" t="s">
        <v>834</v>
      </c>
      <c r="C202" s="7" t="s">
        <v>835</v>
      </c>
      <c r="D202" s="7" t="s">
        <v>836</v>
      </c>
      <c r="E202" s="7" t="s">
        <v>837</v>
      </c>
      <c r="F202" s="9" t="s">
        <v>107</v>
      </c>
      <c r="G202" s="1" t="s">
        <v>838</v>
      </c>
      <c r="H202" s="10"/>
      <c r="I202" s="10"/>
      <c r="J202" s="10"/>
      <c r="K202" s="10"/>
      <c r="L202" s="10"/>
      <c r="M202" s="10"/>
      <c r="N202" s="10"/>
      <c r="O202" s="7">
        <v>20</v>
      </c>
      <c r="P202" s="7"/>
      <c r="Q202" s="7"/>
      <c r="AB202" s="7"/>
    </row>
    <row r="203" spans="1:28" ht="56" x14ac:dyDescent="0.15">
      <c r="A203">
        <f t="shared" si="0"/>
        <v>0</v>
      </c>
      <c r="B203" s="26" t="s">
        <v>839</v>
      </c>
      <c r="C203" s="27" t="s">
        <v>840</v>
      </c>
      <c r="D203" s="27" t="s">
        <v>841</v>
      </c>
      <c r="E203" s="27" t="s">
        <v>842</v>
      </c>
      <c r="F203" s="28" t="s">
        <v>235</v>
      </c>
      <c r="G203" s="26" t="s">
        <v>843</v>
      </c>
      <c r="H203" s="29"/>
      <c r="I203" s="29">
        <v>6</v>
      </c>
      <c r="J203" s="29"/>
      <c r="K203" s="29">
        <v>6</v>
      </c>
      <c r="L203" s="29"/>
      <c r="M203" s="29">
        <v>6</v>
      </c>
      <c r="N203" s="29"/>
      <c r="O203" s="27">
        <v>5</v>
      </c>
      <c r="P203" s="7"/>
      <c r="Q203" s="7"/>
      <c r="AB203" s="7"/>
    </row>
    <row r="204" spans="1:28" ht="140" x14ac:dyDescent="0.15">
      <c r="A204">
        <f t="shared" si="0"/>
        <v>0</v>
      </c>
      <c r="B204" s="1" t="s">
        <v>839</v>
      </c>
      <c r="C204" s="7" t="s">
        <v>844</v>
      </c>
      <c r="D204" s="7" t="s">
        <v>845</v>
      </c>
      <c r="E204" s="7" t="s">
        <v>846</v>
      </c>
      <c r="F204" s="9" t="s">
        <v>107</v>
      </c>
      <c r="G204" s="1" t="s">
        <v>847</v>
      </c>
      <c r="H204" s="10"/>
      <c r="I204" s="10"/>
      <c r="J204" s="10"/>
      <c r="K204" s="10"/>
      <c r="L204" s="10"/>
      <c r="M204" s="10"/>
      <c r="N204" s="10"/>
      <c r="O204" s="7">
        <v>20</v>
      </c>
      <c r="P204" s="7"/>
      <c r="Q204" s="7"/>
      <c r="AB204" s="7"/>
    </row>
    <row r="205" spans="1:28" ht="319" x14ac:dyDescent="0.15">
      <c r="A205">
        <f t="shared" si="0"/>
        <v>0</v>
      </c>
      <c r="B205" s="1" t="s">
        <v>848</v>
      </c>
      <c r="C205" s="7" t="s">
        <v>849</v>
      </c>
      <c r="D205" s="7" t="s">
        <v>850</v>
      </c>
      <c r="E205" s="7" t="s">
        <v>851</v>
      </c>
      <c r="F205" s="9" t="s">
        <v>852</v>
      </c>
      <c r="G205" s="1" t="s">
        <v>853</v>
      </c>
      <c r="H205" s="10">
        <v>6</v>
      </c>
      <c r="I205" s="10"/>
      <c r="J205" s="10"/>
      <c r="K205" s="10">
        <v>6</v>
      </c>
      <c r="L205" s="10">
        <v>6</v>
      </c>
      <c r="M205" s="10">
        <v>6</v>
      </c>
      <c r="N205" s="10"/>
      <c r="O205" s="7">
        <v>15</v>
      </c>
      <c r="P205" s="7">
        <v>35</v>
      </c>
      <c r="Q205" s="7">
        <v>60</v>
      </c>
      <c r="AB205" s="7"/>
    </row>
    <row r="206" spans="1:28" ht="42" customHeight="1" x14ac:dyDescent="0.15">
      <c r="A206">
        <f t="shared" si="0"/>
        <v>0</v>
      </c>
      <c r="B206" s="1" t="s">
        <v>848</v>
      </c>
      <c r="C206" s="7" t="s">
        <v>854</v>
      </c>
      <c r="D206" s="7" t="s">
        <v>855</v>
      </c>
      <c r="E206" s="7" t="s">
        <v>856</v>
      </c>
      <c r="F206" s="9" t="s">
        <v>27</v>
      </c>
      <c r="G206" s="1" t="s">
        <v>857</v>
      </c>
      <c r="H206" s="10">
        <v>0</v>
      </c>
      <c r="I206" s="10">
        <v>0</v>
      </c>
      <c r="J206" s="10">
        <v>12</v>
      </c>
      <c r="K206" s="10">
        <v>12</v>
      </c>
      <c r="L206" s="10">
        <v>0</v>
      </c>
      <c r="M206" s="10">
        <v>12</v>
      </c>
      <c r="N206" s="10"/>
      <c r="O206" s="7">
        <v>10</v>
      </c>
      <c r="P206" s="7"/>
      <c r="Q206" s="7"/>
      <c r="AB206" s="7"/>
    </row>
    <row r="207" spans="1:28" ht="196" x14ac:dyDescent="0.15">
      <c r="A207">
        <f t="shared" si="0"/>
        <v>0</v>
      </c>
      <c r="B207" s="1" t="s">
        <v>858</v>
      </c>
      <c r="C207" s="7" t="s">
        <v>859</v>
      </c>
      <c r="D207" s="7" t="s">
        <v>860</v>
      </c>
      <c r="E207" s="7" t="s">
        <v>861</v>
      </c>
      <c r="F207" s="9" t="s">
        <v>300</v>
      </c>
      <c r="G207" s="1" t="s">
        <v>862</v>
      </c>
      <c r="H207" s="10">
        <v>0</v>
      </c>
      <c r="I207" s="10">
        <v>0</v>
      </c>
      <c r="J207" s="10">
        <v>0</v>
      </c>
      <c r="K207" s="10">
        <v>0</v>
      </c>
      <c r="L207" s="10">
        <v>0</v>
      </c>
      <c r="M207" s="10">
        <v>0</v>
      </c>
      <c r="N207" s="10"/>
      <c r="O207" s="7">
        <v>0</v>
      </c>
      <c r="P207" s="7"/>
      <c r="Q207" s="7"/>
      <c r="AB207" s="7"/>
    </row>
    <row r="208" spans="1:28" ht="70" x14ac:dyDescent="0.15">
      <c r="A208">
        <f t="shared" si="0"/>
        <v>0</v>
      </c>
      <c r="B208" s="1" t="s">
        <v>858</v>
      </c>
      <c r="C208" s="7" t="s">
        <v>863</v>
      </c>
      <c r="D208" s="7" t="s">
        <v>864</v>
      </c>
      <c r="E208" s="7" t="s">
        <v>865</v>
      </c>
      <c r="F208" s="9" t="s">
        <v>107</v>
      </c>
      <c r="G208" s="1" t="s">
        <v>866</v>
      </c>
      <c r="H208" s="10"/>
      <c r="I208" s="10">
        <v>2</v>
      </c>
      <c r="J208" s="10"/>
      <c r="K208" s="10"/>
      <c r="L208" s="10">
        <v>2</v>
      </c>
      <c r="M208" s="10">
        <v>2</v>
      </c>
      <c r="N208" s="10"/>
      <c r="O208" s="7"/>
      <c r="P208" s="7"/>
      <c r="Q208" s="7"/>
      <c r="AB208" s="7"/>
    </row>
    <row r="209" spans="1:28" ht="70" x14ac:dyDescent="0.15">
      <c r="A209">
        <f t="shared" si="0"/>
        <v>0</v>
      </c>
      <c r="B209" s="1" t="s">
        <v>858</v>
      </c>
      <c r="C209" s="7" t="s">
        <v>867</v>
      </c>
      <c r="D209" s="7" t="s">
        <v>868</v>
      </c>
      <c r="E209" s="7" t="s">
        <v>869</v>
      </c>
      <c r="F209" s="9" t="s">
        <v>235</v>
      </c>
      <c r="G209" s="1" t="s">
        <v>870</v>
      </c>
      <c r="H209" s="10"/>
      <c r="I209" s="10"/>
      <c r="J209" s="10"/>
      <c r="K209" s="10"/>
      <c r="L209" s="10"/>
      <c r="M209" s="10"/>
      <c r="N209" s="10"/>
      <c r="O209" s="7">
        <v>5</v>
      </c>
      <c r="P209" s="7"/>
      <c r="Q209" s="7"/>
      <c r="AB209" s="7"/>
    </row>
    <row r="210" spans="1:28" ht="56" x14ac:dyDescent="0.15">
      <c r="A210">
        <f t="shared" si="0"/>
        <v>0</v>
      </c>
      <c r="B210" s="1" t="s">
        <v>858</v>
      </c>
      <c r="C210" s="7" t="s">
        <v>871</v>
      </c>
      <c r="D210" s="7" t="s">
        <v>872</v>
      </c>
      <c r="E210" s="7" t="s">
        <v>873</v>
      </c>
      <c r="F210" s="9" t="s">
        <v>235</v>
      </c>
      <c r="G210" s="1" t="s">
        <v>874</v>
      </c>
      <c r="H210" s="10"/>
      <c r="I210" s="10"/>
      <c r="J210" s="10"/>
      <c r="K210" s="10"/>
      <c r="L210" s="10"/>
      <c r="M210" s="10"/>
      <c r="N210" s="10"/>
      <c r="O210" s="7">
        <v>5</v>
      </c>
      <c r="P210" s="7"/>
      <c r="Q210" s="7"/>
      <c r="AB210" s="7"/>
    </row>
    <row r="211" spans="1:28" ht="56" x14ac:dyDescent="0.15">
      <c r="A211">
        <f t="shared" si="0"/>
        <v>0</v>
      </c>
      <c r="B211" s="1" t="s">
        <v>858</v>
      </c>
      <c r="C211" s="7" t="s">
        <v>875</v>
      </c>
      <c r="D211" s="7" t="s">
        <v>876</v>
      </c>
      <c r="E211" s="7" t="s">
        <v>877</v>
      </c>
      <c r="F211" s="9" t="s">
        <v>27</v>
      </c>
      <c r="G211" s="1" t="s">
        <v>878</v>
      </c>
      <c r="H211" s="10">
        <v>6</v>
      </c>
      <c r="I211" s="10">
        <v>12</v>
      </c>
      <c r="J211" s="10"/>
      <c r="K211" s="10"/>
      <c r="L211" s="10"/>
      <c r="M211" s="10">
        <v>12</v>
      </c>
      <c r="N211" s="10"/>
      <c r="O211" s="7">
        <v>10</v>
      </c>
      <c r="P211" s="7"/>
      <c r="Q211" s="7"/>
      <c r="Y211" s="1" t="s">
        <v>879</v>
      </c>
      <c r="AB211" s="7"/>
    </row>
    <row r="212" spans="1:28" ht="28" x14ac:dyDescent="0.15">
      <c r="A212">
        <f t="shared" si="0"/>
        <v>0</v>
      </c>
      <c r="B212" s="1" t="s">
        <v>858</v>
      </c>
      <c r="C212" s="7" t="s">
        <v>880</v>
      </c>
      <c r="D212" s="7" t="s">
        <v>881</v>
      </c>
      <c r="E212" s="7" t="s">
        <v>882</v>
      </c>
      <c r="F212" s="9" t="s">
        <v>27</v>
      </c>
      <c r="G212" s="1" t="s">
        <v>378</v>
      </c>
      <c r="H212" s="10"/>
      <c r="I212" s="10"/>
      <c r="J212" s="10"/>
      <c r="K212" s="10">
        <v>6</v>
      </c>
      <c r="L212" s="10"/>
      <c r="M212" s="10">
        <v>6</v>
      </c>
      <c r="N212" s="10"/>
      <c r="O212" s="7">
        <v>10</v>
      </c>
      <c r="P212" s="7"/>
      <c r="Q212" s="7"/>
      <c r="AB212" s="7"/>
    </row>
    <row r="213" spans="1:28" ht="112" x14ac:dyDescent="0.15">
      <c r="A213">
        <f t="shared" si="0"/>
        <v>0</v>
      </c>
      <c r="B213" s="1" t="s">
        <v>858</v>
      </c>
      <c r="C213" s="7" t="s">
        <v>883</v>
      </c>
      <c r="D213" s="7" t="s">
        <v>884</v>
      </c>
      <c r="E213" s="7" t="s">
        <v>885</v>
      </c>
      <c r="F213" s="9" t="s">
        <v>27</v>
      </c>
      <c r="G213" s="1" t="s">
        <v>680</v>
      </c>
      <c r="H213" s="10"/>
      <c r="I213" s="10"/>
      <c r="J213" s="10"/>
      <c r="K213" s="10"/>
      <c r="L213" s="10"/>
      <c r="M213" s="10"/>
      <c r="N213" s="10"/>
      <c r="O213" s="7">
        <v>10</v>
      </c>
      <c r="P213" s="7"/>
      <c r="Q213" s="7"/>
      <c r="AB213" s="7"/>
    </row>
    <row r="214" spans="1:28" ht="28" x14ac:dyDescent="0.15">
      <c r="A214">
        <f t="shared" si="0"/>
        <v>0</v>
      </c>
      <c r="B214" s="1" t="s">
        <v>858</v>
      </c>
      <c r="C214" s="7" t="s">
        <v>886</v>
      </c>
      <c r="D214" s="7" t="s">
        <v>887</v>
      </c>
      <c r="E214" s="7" t="s">
        <v>887</v>
      </c>
      <c r="F214" s="9" t="s">
        <v>27</v>
      </c>
      <c r="G214" s="1" t="s">
        <v>888</v>
      </c>
      <c r="H214" s="10"/>
      <c r="I214" s="10"/>
      <c r="J214" s="10"/>
      <c r="K214" s="10"/>
      <c r="L214" s="10">
        <v>6</v>
      </c>
      <c r="M214" s="10">
        <v>6</v>
      </c>
      <c r="N214" s="10"/>
      <c r="O214" s="7">
        <v>10</v>
      </c>
      <c r="P214" s="7"/>
      <c r="Q214" s="7"/>
      <c r="AB214" s="7"/>
    </row>
    <row r="215" spans="1:28" ht="28" x14ac:dyDescent="0.15">
      <c r="A215">
        <f t="shared" si="0"/>
        <v>0</v>
      </c>
      <c r="B215" s="1" t="s">
        <v>858</v>
      </c>
      <c r="C215" s="7" t="s">
        <v>889</v>
      </c>
      <c r="D215" s="7" t="s">
        <v>890</v>
      </c>
      <c r="E215" s="7" t="s">
        <v>890</v>
      </c>
      <c r="F215" s="9" t="s">
        <v>55</v>
      </c>
      <c r="G215" s="1" t="s">
        <v>402</v>
      </c>
      <c r="H215" s="10"/>
      <c r="I215" s="10">
        <v>6</v>
      </c>
      <c r="J215" s="10"/>
      <c r="K215" s="10"/>
      <c r="L215" s="10"/>
      <c r="M215" s="10">
        <v>6</v>
      </c>
      <c r="N215" s="10"/>
      <c r="O215" s="7">
        <v>30</v>
      </c>
      <c r="P215" s="7">
        <v>70</v>
      </c>
      <c r="Q215" s="7">
        <v>120</v>
      </c>
      <c r="AB215" s="7"/>
    </row>
    <row r="216" spans="1:28" ht="56" x14ac:dyDescent="0.15">
      <c r="A216">
        <f t="shared" si="0"/>
        <v>0</v>
      </c>
      <c r="B216" s="1" t="s">
        <v>858</v>
      </c>
      <c r="C216" s="1" t="s">
        <v>891</v>
      </c>
      <c r="D216" s="7" t="s">
        <v>892</v>
      </c>
      <c r="E216" s="7" t="s">
        <v>893</v>
      </c>
      <c r="F216" s="9" t="s">
        <v>235</v>
      </c>
      <c r="G216" s="1" t="s">
        <v>462</v>
      </c>
      <c r="H216" s="10"/>
      <c r="I216" s="10"/>
      <c r="J216" s="10"/>
      <c r="K216" s="10"/>
      <c r="L216" s="10"/>
      <c r="M216" s="10"/>
      <c r="N216" s="10"/>
      <c r="O216" s="7">
        <v>5</v>
      </c>
      <c r="P216" s="7"/>
      <c r="Q216" s="7"/>
      <c r="AB216" s="7"/>
    </row>
    <row r="217" spans="1:28" ht="112" x14ac:dyDescent="0.15">
      <c r="A217">
        <f t="shared" si="0"/>
        <v>0</v>
      </c>
      <c r="B217" s="1" t="s">
        <v>858</v>
      </c>
      <c r="C217" s="7" t="s">
        <v>894</v>
      </c>
      <c r="D217" s="7" t="s">
        <v>895</v>
      </c>
      <c r="E217" s="7" t="s">
        <v>896</v>
      </c>
      <c r="F217" s="9" t="s">
        <v>235</v>
      </c>
      <c r="G217" s="1" t="s">
        <v>402</v>
      </c>
      <c r="H217" s="10"/>
      <c r="I217" s="10">
        <v>4</v>
      </c>
      <c r="J217" s="10"/>
      <c r="K217" s="10">
        <v>2</v>
      </c>
      <c r="L217" s="10">
        <v>2</v>
      </c>
      <c r="M217" s="10">
        <v>6</v>
      </c>
      <c r="N217" s="10"/>
      <c r="O217" s="7">
        <v>5</v>
      </c>
      <c r="P217" s="7"/>
      <c r="Q217" s="7"/>
      <c r="AB217" s="7"/>
    </row>
    <row r="218" spans="1:28" ht="28" x14ac:dyDescent="0.15">
      <c r="A218">
        <f t="shared" si="0"/>
        <v>0</v>
      </c>
      <c r="B218" s="1" t="s">
        <v>897</v>
      </c>
      <c r="C218" s="7" t="s">
        <v>898</v>
      </c>
      <c r="D218" s="7" t="s">
        <v>899</v>
      </c>
      <c r="E218" s="7" t="str">
        <f>"1 drain. Spell is not perceived except by a successful opposed percieve magic check."</f>
        <v>1 drain. Spell is not perceived except by a successful opposed percieve magic check.</v>
      </c>
      <c r="F218" s="9" t="s">
        <v>235</v>
      </c>
      <c r="G218" s="1" t="s">
        <v>900</v>
      </c>
      <c r="H218" s="10"/>
      <c r="I218" s="10"/>
      <c r="J218" s="10"/>
      <c r="K218" s="10"/>
      <c r="L218" s="10"/>
      <c r="M218" s="10"/>
      <c r="N218" s="10"/>
      <c r="O218" s="7">
        <v>5</v>
      </c>
      <c r="P218" s="7"/>
      <c r="Q218" s="7"/>
      <c r="AB218" s="7"/>
    </row>
    <row r="219" spans="1:28" ht="56" x14ac:dyDescent="0.15">
      <c r="A219">
        <f t="shared" si="0"/>
        <v>0</v>
      </c>
      <c r="B219" s="1" t="s">
        <v>897</v>
      </c>
      <c r="C219" s="7" t="s">
        <v>901</v>
      </c>
      <c r="D219" s="7" t="s">
        <v>902</v>
      </c>
      <c r="E219" s="7" t="s">
        <v>903</v>
      </c>
      <c r="F219" s="9" t="s">
        <v>235</v>
      </c>
      <c r="G219" s="1" t="s">
        <v>904</v>
      </c>
      <c r="H219" s="10"/>
      <c r="I219" s="10">
        <v>9</v>
      </c>
      <c r="J219" s="10"/>
      <c r="K219" s="10"/>
      <c r="L219" s="10"/>
      <c r="M219" s="10"/>
      <c r="N219" s="10"/>
      <c r="O219" s="7">
        <v>5</v>
      </c>
      <c r="P219" s="7"/>
      <c r="Q219" s="7"/>
      <c r="AB219" s="7"/>
    </row>
    <row r="220" spans="1:28" ht="56" x14ac:dyDescent="0.15">
      <c r="A220">
        <f t="shared" si="0"/>
        <v>0</v>
      </c>
      <c r="B220" s="1" t="s">
        <v>858</v>
      </c>
      <c r="C220" s="7" t="s">
        <v>905</v>
      </c>
      <c r="D220" s="7" t="s">
        <v>906</v>
      </c>
      <c r="E220" s="7" t="s">
        <v>907</v>
      </c>
      <c r="F220" s="9" t="s">
        <v>50</v>
      </c>
      <c r="G220" s="1" t="s">
        <v>908</v>
      </c>
      <c r="H220" s="10"/>
      <c r="I220" s="10"/>
      <c r="J220" s="10"/>
      <c r="K220" s="10"/>
      <c r="L220" s="10"/>
      <c r="M220" s="10"/>
      <c r="N220" s="10"/>
      <c r="O220" s="7">
        <v>100</v>
      </c>
      <c r="P220" s="7"/>
      <c r="Q220" s="7"/>
      <c r="AB220" s="7"/>
    </row>
    <row r="221" spans="1:28" ht="28" x14ac:dyDescent="0.15">
      <c r="A221">
        <f t="shared" si="0"/>
        <v>0</v>
      </c>
      <c r="B221" s="1" t="s">
        <v>909</v>
      </c>
      <c r="C221" s="7" t="s">
        <v>910</v>
      </c>
      <c r="D221" s="7" t="s">
        <v>911</v>
      </c>
      <c r="E221" s="7" t="s">
        <v>912</v>
      </c>
      <c r="F221" s="9" t="s">
        <v>107</v>
      </c>
      <c r="G221" s="1" t="s">
        <v>913</v>
      </c>
      <c r="H221" s="10"/>
      <c r="I221" s="10"/>
      <c r="J221" s="10"/>
      <c r="K221" s="10"/>
      <c r="L221" s="10"/>
      <c r="M221" s="10"/>
      <c r="N221" s="10"/>
      <c r="O221" s="7">
        <v>20</v>
      </c>
      <c r="P221" s="7"/>
      <c r="Q221" s="7"/>
      <c r="AB221" s="7"/>
    </row>
    <row r="222" spans="1:28" ht="56" x14ac:dyDescent="0.15">
      <c r="A222">
        <f t="shared" si="0"/>
        <v>0</v>
      </c>
      <c r="B222" s="1" t="s">
        <v>909</v>
      </c>
      <c r="C222" s="7" t="s">
        <v>914</v>
      </c>
      <c r="D222" s="7" t="s">
        <v>915</v>
      </c>
      <c r="E222" s="7" t="s">
        <v>916</v>
      </c>
      <c r="F222" s="9" t="s">
        <v>107</v>
      </c>
      <c r="G222" s="1" t="s">
        <v>913</v>
      </c>
      <c r="H222" s="10"/>
      <c r="I222" s="10"/>
      <c r="J222" s="10"/>
      <c r="K222" s="10"/>
      <c r="L222" s="10"/>
      <c r="M222" s="10"/>
      <c r="N222" s="10"/>
      <c r="O222" s="7">
        <v>20</v>
      </c>
      <c r="P222" s="7"/>
      <c r="Q222" s="7"/>
      <c r="AB222" s="7"/>
    </row>
    <row r="223" spans="1:28" ht="56" x14ac:dyDescent="0.15">
      <c r="A223">
        <f t="shared" si="0"/>
        <v>0</v>
      </c>
      <c r="B223" s="1" t="s">
        <v>909</v>
      </c>
      <c r="C223" s="7" t="s">
        <v>917</v>
      </c>
      <c r="D223" s="7" t="s">
        <v>918</v>
      </c>
      <c r="E223" s="7" t="s">
        <v>919</v>
      </c>
      <c r="F223" s="9" t="s">
        <v>107</v>
      </c>
      <c r="G223" s="1" t="s">
        <v>920</v>
      </c>
      <c r="H223" s="10"/>
      <c r="I223" s="10"/>
      <c r="J223" s="10"/>
      <c r="K223" s="10"/>
      <c r="L223" s="10"/>
      <c r="M223" s="10"/>
      <c r="N223" s="10"/>
      <c r="O223" s="7">
        <v>20</v>
      </c>
      <c r="P223" s="7"/>
      <c r="Q223" s="7"/>
      <c r="AB223" s="7"/>
    </row>
    <row r="224" spans="1:28" ht="42" x14ac:dyDescent="0.15">
      <c r="A224">
        <f t="shared" si="0"/>
        <v>0</v>
      </c>
      <c r="B224" s="1" t="s">
        <v>921</v>
      </c>
      <c r="C224" s="7" t="s">
        <v>922</v>
      </c>
      <c r="D224" s="7" t="s">
        <v>923</v>
      </c>
      <c r="E224" s="7" t="s">
        <v>924</v>
      </c>
      <c r="F224" s="9" t="s">
        <v>107</v>
      </c>
      <c r="G224" s="1" t="s">
        <v>925</v>
      </c>
      <c r="H224" s="10"/>
      <c r="I224" s="10"/>
      <c r="J224" s="10"/>
      <c r="K224" s="10"/>
      <c r="L224" s="10"/>
      <c r="M224" s="10"/>
      <c r="N224" s="10"/>
      <c r="O224" s="7">
        <v>20</v>
      </c>
      <c r="P224" s="7"/>
      <c r="Q224" s="7"/>
      <c r="AB224" s="7"/>
    </row>
    <row r="225" spans="1:28" ht="42" x14ac:dyDescent="0.15">
      <c r="A225">
        <f t="shared" si="0"/>
        <v>0</v>
      </c>
      <c r="B225" s="1" t="s">
        <v>921</v>
      </c>
      <c r="C225" s="7" t="s">
        <v>926</v>
      </c>
      <c r="D225" s="7" t="s">
        <v>927</v>
      </c>
      <c r="E225" s="7" t="s">
        <v>928</v>
      </c>
      <c r="F225" s="9" t="s">
        <v>235</v>
      </c>
      <c r="G225" s="1" t="s">
        <v>929</v>
      </c>
      <c r="H225" s="10"/>
      <c r="I225" s="10">
        <v>4</v>
      </c>
      <c r="J225" s="10"/>
      <c r="K225" s="10">
        <v>4</v>
      </c>
      <c r="L225" s="10"/>
      <c r="M225" s="10">
        <v>4</v>
      </c>
      <c r="N225" s="10"/>
      <c r="O225" s="7">
        <v>5</v>
      </c>
      <c r="P225" s="7"/>
      <c r="Q225" s="7"/>
      <c r="AB225" s="7"/>
    </row>
    <row r="226" spans="1:28" ht="70" x14ac:dyDescent="0.15">
      <c r="A226">
        <f t="shared" si="0"/>
        <v>0</v>
      </c>
      <c r="B226" s="1" t="s">
        <v>921</v>
      </c>
      <c r="C226" s="7" t="s">
        <v>930</v>
      </c>
      <c r="D226" s="7" t="s">
        <v>931</v>
      </c>
      <c r="E226" s="7" t="s">
        <v>932</v>
      </c>
      <c r="F226" s="9" t="s">
        <v>558</v>
      </c>
      <c r="G226" s="1" t="s">
        <v>933</v>
      </c>
      <c r="H226" s="10"/>
      <c r="I226" s="10"/>
      <c r="J226" s="10"/>
      <c r="K226" s="10"/>
      <c r="L226" s="10">
        <v>6</v>
      </c>
      <c r="M226" s="10">
        <v>6</v>
      </c>
      <c r="N226" s="10"/>
      <c r="O226" s="7">
        <v>10</v>
      </c>
      <c r="P226" s="7">
        <v>20</v>
      </c>
      <c r="Q226" s="7">
        <v>30</v>
      </c>
      <c r="AB226" s="7"/>
    </row>
    <row r="227" spans="1:28" ht="42" x14ac:dyDescent="0.15">
      <c r="A227">
        <f t="shared" si="0"/>
        <v>0</v>
      </c>
      <c r="B227" s="1" t="s">
        <v>921</v>
      </c>
      <c r="C227" s="7" t="s">
        <v>934</v>
      </c>
      <c r="D227" s="7" t="s">
        <v>935</v>
      </c>
      <c r="E227" s="7" t="s">
        <v>936</v>
      </c>
      <c r="F227" s="9" t="s">
        <v>27</v>
      </c>
      <c r="G227" s="1" t="s">
        <v>937</v>
      </c>
      <c r="H227" s="10"/>
      <c r="I227" s="10"/>
      <c r="J227" s="10"/>
      <c r="K227" s="10">
        <v>8</v>
      </c>
      <c r="L227" s="10"/>
      <c r="M227" s="10">
        <v>8</v>
      </c>
      <c r="N227" s="10"/>
      <c r="O227" s="7">
        <v>10</v>
      </c>
      <c r="P227" s="7"/>
      <c r="Q227" s="7"/>
      <c r="AB227" s="7"/>
    </row>
    <row r="228" spans="1:28" ht="42" x14ac:dyDescent="0.15">
      <c r="A228">
        <f t="shared" si="0"/>
        <v>0</v>
      </c>
      <c r="B228" s="1" t="s">
        <v>921</v>
      </c>
      <c r="C228" s="7" t="s">
        <v>938</v>
      </c>
      <c r="D228" s="7" t="s">
        <v>939</v>
      </c>
      <c r="E228" s="7" t="s">
        <v>940</v>
      </c>
      <c r="F228" s="9" t="s">
        <v>39</v>
      </c>
      <c r="G228" s="1" t="s">
        <v>941</v>
      </c>
      <c r="H228" s="10"/>
      <c r="I228" s="10"/>
      <c r="J228" s="10"/>
      <c r="K228" s="10"/>
      <c r="L228" s="10"/>
      <c r="M228" s="10"/>
      <c r="N228" s="10"/>
      <c r="O228" s="7">
        <v>15</v>
      </c>
      <c r="P228" s="7"/>
      <c r="Q228" s="7"/>
      <c r="AB228" s="7"/>
    </row>
    <row r="229" spans="1:28" ht="70" x14ac:dyDescent="0.15">
      <c r="A229">
        <f t="shared" si="0"/>
        <v>0</v>
      </c>
      <c r="B229" s="1" t="s">
        <v>921</v>
      </c>
      <c r="C229" s="7" t="s">
        <v>942</v>
      </c>
      <c r="D229" s="7" t="s">
        <v>943</v>
      </c>
      <c r="E229" s="7" t="s">
        <v>944</v>
      </c>
      <c r="F229" s="9" t="s">
        <v>27</v>
      </c>
      <c r="G229" s="1" t="s">
        <v>945</v>
      </c>
      <c r="H229" s="10">
        <v>8</v>
      </c>
      <c r="I229" s="10"/>
      <c r="J229" s="10">
        <v>8</v>
      </c>
      <c r="K229" s="10"/>
      <c r="L229" s="10"/>
      <c r="M229" s="10">
        <v>8</v>
      </c>
      <c r="N229" s="10"/>
      <c r="O229" s="7">
        <v>10</v>
      </c>
      <c r="P229" s="7"/>
      <c r="Q229" s="7"/>
      <c r="AB229" s="7"/>
    </row>
    <row r="230" spans="1:28" ht="70" x14ac:dyDescent="0.15">
      <c r="A230">
        <f t="shared" si="0"/>
        <v>0</v>
      </c>
      <c r="B230" s="1" t="s">
        <v>921</v>
      </c>
      <c r="C230" s="7" t="s">
        <v>946</v>
      </c>
      <c r="D230" s="7" t="s">
        <v>947</v>
      </c>
      <c r="E230" s="7" t="s">
        <v>948</v>
      </c>
      <c r="F230" s="9" t="s">
        <v>39</v>
      </c>
      <c r="G230" s="1" t="s">
        <v>949</v>
      </c>
      <c r="H230" s="10">
        <v>0</v>
      </c>
      <c r="I230" s="10">
        <v>0</v>
      </c>
      <c r="J230" s="10">
        <v>8</v>
      </c>
      <c r="K230" s="10">
        <v>0</v>
      </c>
      <c r="L230" s="10">
        <v>0</v>
      </c>
      <c r="M230" s="10">
        <v>8</v>
      </c>
      <c r="N230" s="10"/>
      <c r="O230" s="7">
        <v>15</v>
      </c>
      <c r="P230" s="7"/>
      <c r="Q230" s="7"/>
      <c r="AB230" s="7"/>
    </row>
    <row r="231" spans="1:28" ht="140" x14ac:dyDescent="0.15">
      <c r="A231">
        <f t="shared" si="0"/>
        <v>0</v>
      </c>
      <c r="B231" s="1" t="s">
        <v>921</v>
      </c>
      <c r="C231" s="7" t="s">
        <v>950</v>
      </c>
      <c r="D231" s="7" t="s">
        <v>951</v>
      </c>
      <c r="E231" s="7" t="s">
        <v>952</v>
      </c>
      <c r="F231" s="9" t="s">
        <v>953</v>
      </c>
      <c r="G231" s="1" t="s">
        <v>954</v>
      </c>
      <c r="H231" s="10"/>
      <c r="I231" s="10">
        <v>2</v>
      </c>
      <c r="J231" s="10"/>
      <c r="K231" s="10"/>
      <c r="L231" s="10"/>
      <c r="M231" s="10">
        <v>2</v>
      </c>
      <c r="N231" s="10"/>
      <c r="O231" s="7">
        <v>5</v>
      </c>
      <c r="P231" s="7">
        <v>15</v>
      </c>
      <c r="Q231" s="7">
        <v>30</v>
      </c>
      <c r="R231" s="1">
        <v>50</v>
      </c>
      <c r="AB231" s="7"/>
    </row>
    <row r="232" spans="1:28" ht="56" x14ac:dyDescent="0.15">
      <c r="A232">
        <f t="shared" si="0"/>
        <v>0</v>
      </c>
      <c r="B232" s="1" t="s">
        <v>921</v>
      </c>
      <c r="C232" s="7" t="s">
        <v>955</v>
      </c>
      <c r="D232" s="7" t="s">
        <v>956</v>
      </c>
      <c r="E232" s="7" t="s">
        <v>957</v>
      </c>
      <c r="F232" s="9" t="s">
        <v>735</v>
      </c>
      <c r="G232" s="1" t="s">
        <v>958</v>
      </c>
      <c r="H232" s="10"/>
      <c r="I232" s="10"/>
      <c r="J232" s="10">
        <v>4</v>
      </c>
      <c r="K232" s="10"/>
      <c r="L232" s="10"/>
      <c r="M232" s="10">
        <v>4</v>
      </c>
      <c r="N232" s="10"/>
      <c r="O232" s="7">
        <v>5</v>
      </c>
      <c r="P232" s="7"/>
      <c r="Q232" s="7"/>
      <c r="AB232" s="7"/>
    </row>
    <row r="233" spans="1:28" ht="56" x14ac:dyDescent="0.15">
      <c r="A233">
        <f t="shared" si="0"/>
        <v>0</v>
      </c>
      <c r="B233" s="1" t="s">
        <v>921</v>
      </c>
      <c r="C233" s="7" t="s">
        <v>959</v>
      </c>
      <c r="D233" s="7" t="s">
        <v>960</v>
      </c>
      <c r="E233" s="7" t="s">
        <v>961</v>
      </c>
      <c r="F233" s="9" t="s">
        <v>962</v>
      </c>
      <c r="G233" s="1" t="s">
        <v>963</v>
      </c>
      <c r="H233" s="10"/>
      <c r="I233" s="10"/>
      <c r="J233" s="10">
        <v>6</v>
      </c>
      <c r="K233" s="10"/>
      <c r="L233" s="10">
        <v>6</v>
      </c>
      <c r="M233" s="10">
        <v>6</v>
      </c>
      <c r="N233" s="10"/>
      <c r="O233" s="7">
        <v>10</v>
      </c>
      <c r="P233" s="7">
        <v>30</v>
      </c>
      <c r="Q233" s="7">
        <v>60</v>
      </c>
      <c r="R233" s="1">
        <v>100</v>
      </c>
      <c r="AB233" s="7"/>
    </row>
    <row r="234" spans="1:28" ht="56" x14ac:dyDescent="0.15">
      <c r="A234">
        <f t="shared" si="0"/>
        <v>0</v>
      </c>
      <c r="B234" s="1" t="s">
        <v>921</v>
      </c>
      <c r="C234" s="7" t="s">
        <v>964</v>
      </c>
      <c r="D234" s="7" t="s">
        <v>965</v>
      </c>
      <c r="E234" s="7" t="s">
        <v>966</v>
      </c>
      <c r="F234" s="9" t="s">
        <v>967</v>
      </c>
      <c r="G234" s="1" t="s">
        <v>968</v>
      </c>
      <c r="H234" s="10"/>
      <c r="I234" s="10"/>
      <c r="J234" s="10">
        <v>8</v>
      </c>
      <c r="K234" s="10"/>
      <c r="L234" s="10">
        <v>8</v>
      </c>
      <c r="M234" s="10">
        <v>8</v>
      </c>
      <c r="N234" s="10"/>
      <c r="O234" s="7">
        <v>20</v>
      </c>
      <c r="P234" s="7">
        <v>60</v>
      </c>
      <c r="Q234" s="7">
        <v>120</v>
      </c>
      <c r="R234" s="1">
        <v>200</v>
      </c>
      <c r="AB234" s="7"/>
    </row>
    <row r="235" spans="1:28" ht="56" x14ac:dyDescent="0.15">
      <c r="A235">
        <f t="shared" si="0"/>
        <v>0</v>
      </c>
      <c r="B235" s="1" t="s">
        <v>921</v>
      </c>
      <c r="C235" s="7" t="s">
        <v>969</v>
      </c>
      <c r="D235" s="7" t="s">
        <v>970</v>
      </c>
      <c r="E235" s="7" t="s">
        <v>971</v>
      </c>
      <c r="F235" s="9" t="s">
        <v>107</v>
      </c>
      <c r="G235" s="1" t="s">
        <v>972</v>
      </c>
      <c r="H235" s="10"/>
      <c r="I235" s="10"/>
      <c r="J235" s="10"/>
      <c r="K235" s="10"/>
      <c r="L235" s="10"/>
      <c r="M235" s="10"/>
      <c r="N235" s="10"/>
      <c r="O235" s="7">
        <v>20</v>
      </c>
      <c r="P235" s="7"/>
      <c r="Q235" s="7"/>
      <c r="AB235" s="7"/>
    </row>
    <row r="236" spans="1:28" ht="98" x14ac:dyDescent="0.15">
      <c r="A236">
        <f t="shared" si="0"/>
        <v>0</v>
      </c>
      <c r="B236" s="1" t="s">
        <v>921</v>
      </c>
      <c r="C236" s="7" t="s">
        <v>973</v>
      </c>
      <c r="D236" s="7" t="s">
        <v>974</v>
      </c>
      <c r="E236" s="7" t="s">
        <v>975</v>
      </c>
      <c r="F236" s="9" t="s">
        <v>300</v>
      </c>
      <c r="G236" s="1" t="s">
        <v>958</v>
      </c>
      <c r="H236" s="10"/>
      <c r="I236" s="10"/>
      <c r="J236" s="10">
        <v>4</v>
      </c>
      <c r="K236" s="10"/>
      <c r="L236" s="10"/>
      <c r="M236" s="10">
        <v>4</v>
      </c>
      <c r="N236" s="10"/>
      <c r="O236" s="7">
        <v>0</v>
      </c>
      <c r="P236" s="7"/>
      <c r="Q236" s="7"/>
      <c r="AB236" s="7"/>
    </row>
    <row r="237" spans="1:28" ht="42" x14ac:dyDescent="0.15">
      <c r="A237">
        <f t="shared" si="0"/>
        <v>0</v>
      </c>
      <c r="B237" s="1" t="s">
        <v>921</v>
      </c>
      <c r="C237" s="7" t="s">
        <v>976</v>
      </c>
      <c r="D237" s="7" t="s">
        <v>977</v>
      </c>
      <c r="E237" s="7" t="s">
        <v>978</v>
      </c>
      <c r="F237" s="9" t="s">
        <v>185</v>
      </c>
      <c r="G237" s="1" t="s">
        <v>949</v>
      </c>
      <c r="H237" s="10"/>
      <c r="I237" s="10"/>
      <c r="J237" s="10">
        <v>10</v>
      </c>
      <c r="K237" s="10"/>
      <c r="L237" s="10"/>
      <c r="M237" s="10">
        <v>10</v>
      </c>
      <c r="N237" s="10"/>
      <c r="O237" s="7">
        <v>30</v>
      </c>
      <c r="P237" s="7"/>
      <c r="Q237" s="7"/>
      <c r="AB237" s="7"/>
    </row>
    <row r="238" spans="1:28" ht="14" x14ac:dyDescent="0.15">
      <c r="A238">
        <f t="shared" si="0"/>
        <v>0</v>
      </c>
      <c r="B238" s="1" t="s">
        <v>921</v>
      </c>
      <c r="C238" s="7" t="s">
        <v>979</v>
      </c>
      <c r="D238" s="7" t="s">
        <v>980</v>
      </c>
      <c r="E238" s="7" t="s">
        <v>981</v>
      </c>
      <c r="F238" s="9" t="s">
        <v>107</v>
      </c>
      <c r="G238" s="1" t="s">
        <v>982</v>
      </c>
      <c r="H238" s="10">
        <v>4</v>
      </c>
      <c r="I238" s="10">
        <v>2</v>
      </c>
      <c r="J238" s="10"/>
      <c r="K238" s="10"/>
      <c r="L238" s="10"/>
      <c r="M238" s="10">
        <v>4</v>
      </c>
      <c r="N238" s="10"/>
      <c r="O238" s="7">
        <v>20</v>
      </c>
      <c r="P238" s="7"/>
      <c r="Q238" s="7"/>
      <c r="AB238" s="7"/>
    </row>
    <row r="239" spans="1:28" ht="154" x14ac:dyDescent="0.15">
      <c r="A239">
        <f t="shared" si="0"/>
        <v>0</v>
      </c>
      <c r="B239" s="1" t="s">
        <v>921</v>
      </c>
      <c r="C239" s="7" t="s">
        <v>983</v>
      </c>
      <c r="D239" s="7" t="s">
        <v>984</v>
      </c>
      <c r="E239" s="7" t="s">
        <v>985</v>
      </c>
      <c r="F239" s="9" t="s">
        <v>986</v>
      </c>
      <c r="G239" s="1" t="s">
        <v>987</v>
      </c>
      <c r="H239" s="10"/>
      <c r="I239" s="10"/>
      <c r="J239" s="10"/>
      <c r="K239" s="10">
        <v>6</v>
      </c>
      <c r="L239" s="10">
        <v>6</v>
      </c>
      <c r="M239" s="10">
        <v>6</v>
      </c>
      <c r="N239" s="10"/>
      <c r="O239" s="7">
        <v>20</v>
      </c>
      <c r="P239" s="7">
        <v>40</v>
      </c>
      <c r="Q239" s="7">
        <v>60</v>
      </c>
      <c r="R239" s="1">
        <v>80</v>
      </c>
      <c r="AB239" s="7"/>
    </row>
    <row r="240" spans="1:28" ht="70" x14ac:dyDescent="0.15">
      <c r="A240">
        <f t="shared" si="0"/>
        <v>0</v>
      </c>
      <c r="B240" s="1" t="s">
        <v>921</v>
      </c>
      <c r="C240" s="7" t="s">
        <v>988</v>
      </c>
      <c r="D240" s="7" t="s">
        <v>989</v>
      </c>
      <c r="E240" s="7" t="s">
        <v>990</v>
      </c>
      <c r="F240" s="9" t="s">
        <v>39</v>
      </c>
      <c r="G240" s="1" t="s">
        <v>488</v>
      </c>
      <c r="H240" s="10"/>
      <c r="I240" s="10"/>
      <c r="J240" s="10"/>
      <c r="K240" s="10"/>
      <c r="L240" s="10">
        <v>6</v>
      </c>
      <c r="M240" s="10">
        <v>6</v>
      </c>
      <c r="N240" s="10"/>
      <c r="O240" s="7">
        <v>15</v>
      </c>
      <c r="P240" s="7"/>
      <c r="Q240" s="7"/>
      <c r="AB240" s="7"/>
    </row>
    <row r="241" spans="1:28" ht="42" x14ac:dyDescent="0.15">
      <c r="A241">
        <f t="shared" si="0"/>
        <v>0</v>
      </c>
      <c r="B241" s="1" t="s">
        <v>921</v>
      </c>
      <c r="C241" s="7" t="s">
        <v>991</v>
      </c>
      <c r="D241" s="7" t="s">
        <v>992</v>
      </c>
      <c r="E241" s="7" t="s">
        <v>993</v>
      </c>
      <c r="F241" s="9" t="s">
        <v>735</v>
      </c>
      <c r="G241" s="1" t="s">
        <v>994</v>
      </c>
      <c r="H241" s="10"/>
      <c r="I241" s="10">
        <v>4</v>
      </c>
      <c r="J241" s="10">
        <v>4</v>
      </c>
      <c r="K241" s="10"/>
      <c r="L241" s="10">
        <v>4</v>
      </c>
      <c r="M241" s="10">
        <v>6</v>
      </c>
      <c r="N241" s="10"/>
      <c r="O241" s="7">
        <v>4</v>
      </c>
      <c r="P241" s="7"/>
      <c r="Q241" s="7"/>
      <c r="AB241" s="7"/>
    </row>
    <row r="242" spans="1:28" ht="56" x14ac:dyDescent="0.15">
      <c r="A242">
        <f t="shared" si="0"/>
        <v>0</v>
      </c>
      <c r="B242" s="1" t="s">
        <v>921</v>
      </c>
      <c r="C242" s="7" t="s">
        <v>995</v>
      </c>
      <c r="D242" s="7" t="s">
        <v>996</v>
      </c>
      <c r="E242" s="7" t="s">
        <v>997</v>
      </c>
      <c r="F242" s="9" t="s">
        <v>185</v>
      </c>
      <c r="G242" s="1" t="s">
        <v>998</v>
      </c>
      <c r="H242" s="10"/>
      <c r="I242" s="10"/>
      <c r="J242" s="10">
        <v>8</v>
      </c>
      <c r="K242" s="10"/>
      <c r="L242" s="10">
        <v>8</v>
      </c>
      <c r="M242" s="10">
        <v>8</v>
      </c>
      <c r="N242" s="10"/>
      <c r="O242" s="7">
        <v>30</v>
      </c>
      <c r="P242" s="7"/>
      <c r="Q242" s="7"/>
      <c r="AB242" s="7"/>
    </row>
    <row r="243" spans="1:28" ht="56" x14ac:dyDescent="0.15">
      <c r="A243">
        <f t="shared" si="0"/>
        <v>0</v>
      </c>
      <c r="B243" s="1" t="s">
        <v>921</v>
      </c>
      <c r="C243" s="7" t="s">
        <v>999</v>
      </c>
      <c r="D243" s="7" t="s">
        <v>1000</v>
      </c>
      <c r="E243" s="7" t="s">
        <v>1001</v>
      </c>
      <c r="F243" s="9" t="s">
        <v>185</v>
      </c>
      <c r="G243" s="1" t="s">
        <v>1002</v>
      </c>
      <c r="H243" s="10"/>
      <c r="I243" s="10">
        <v>10</v>
      </c>
      <c r="J243" s="10">
        <v>10</v>
      </c>
      <c r="K243" s="10"/>
      <c r="L243" s="10"/>
      <c r="M243" s="10">
        <v>10</v>
      </c>
      <c r="N243" s="10"/>
      <c r="O243" s="7">
        <v>30</v>
      </c>
      <c r="P243" s="7"/>
      <c r="Q243" s="7"/>
      <c r="AB243" s="7"/>
    </row>
    <row r="244" spans="1:28" ht="266" x14ac:dyDescent="0.15">
      <c r="A244">
        <f t="shared" si="0"/>
        <v>0</v>
      </c>
      <c r="B244" s="1" t="s">
        <v>921</v>
      </c>
      <c r="C244" s="7" t="s">
        <v>1003</v>
      </c>
      <c r="D244" s="7" t="s">
        <v>1004</v>
      </c>
      <c r="E244" s="7" t="s">
        <v>1005</v>
      </c>
      <c r="F244" s="9" t="s">
        <v>235</v>
      </c>
      <c r="G244" s="1" t="s">
        <v>1006</v>
      </c>
      <c r="H244" s="10"/>
      <c r="I244" s="10">
        <v>4</v>
      </c>
      <c r="J244" s="10"/>
      <c r="K244" s="10">
        <v>8</v>
      </c>
      <c r="L244" s="10">
        <v>2</v>
      </c>
      <c r="M244" s="10">
        <v>8</v>
      </c>
      <c r="N244" s="10"/>
      <c r="O244" s="7">
        <v>5</v>
      </c>
      <c r="P244" s="7"/>
      <c r="Q244" s="7"/>
      <c r="AB244" s="7"/>
    </row>
    <row r="245" spans="1:28" ht="84" x14ac:dyDescent="0.15">
      <c r="A245">
        <f t="shared" si="0"/>
        <v>0</v>
      </c>
      <c r="B245" s="1" t="s">
        <v>921</v>
      </c>
      <c r="C245" s="7" t="s">
        <v>1007</v>
      </c>
      <c r="D245" s="7" t="s">
        <v>1008</v>
      </c>
      <c r="E245" s="7" t="s">
        <v>1009</v>
      </c>
      <c r="F245" s="9" t="s">
        <v>235</v>
      </c>
      <c r="G245" s="1" t="s">
        <v>1010</v>
      </c>
      <c r="H245" s="10"/>
      <c r="I245" s="10"/>
      <c r="J245" s="10"/>
      <c r="K245" s="10"/>
      <c r="L245" s="10"/>
      <c r="M245" s="10"/>
      <c r="N245" s="10"/>
      <c r="O245" s="7">
        <v>5</v>
      </c>
      <c r="P245" s="7"/>
      <c r="Q245" s="7"/>
      <c r="AB245" s="7"/>
    </row>
    <row r="246" spans="1:28" ht="56" x14ac:dyDescent="0.15">
      <c r="A246">
        <f t="shared" si="0"/>
        <v>0</v>
      </c>
      <c r="B246" s="1" t="s">
        <v>921</v>
      </c>
      <c r="C246" s="7" t="s">
        <v>1011</v>
      </c>
      <c r="D246" s="7" t="s">
        <v>1012</v>
      </c>
      <c r="E246" s="7" t="s">
        <v>1013</v>
      </c>
      <c r="F246" s="9" t="s">
        <v>107</v>
      </c>
      <c r="G246" s="1" t="s">
        <v>1014</v>
      </c>
      <c r="H246" s="10"/>
      <c r="I246" s="10"/>
      <c r="J246" s="10"/>
      <c r="K246" s="10"/>
      <c r="L246" s="10"/>
      <c r="M246" s="10"/>
      <c r="N246" s="10"/>
      <c r="O246" s="7">
        <v>20</v>
      </c>
      <c r="P246" s="7"/>
      <c r="Q246" s="7"/>
      <c r="AB246" s="7"/>
    </row>
    <row r="247" spans="1:28" ht="30" x14ac:dyDescent="0.15">
      <c r="A247">
        <f t="shared" si="0"/>
        <v>0</v>
      </c>
      <c r="B247" s="16" t="s">
        <v>921</v>
      </c>
      <c r="C247" s="16" t="s">
        <v>1015</v>
      </c>
      <c r="D247" s="17" t="s">
        <v>1016</v>
      </c>
      <c r="E247" s="16" t="s">
        <v>1017</v>
      </c>
      <c r="F247" s="24" t="s">
        <v>127</v>
      </c>
      <c r="G247" s="19" t="s">
        <v>1018</v>
      </c>
      <c r="H247" s="20"/>
      <c r="I247" s="20"/>
      <c r="J247" s="20"/>
      <c r="K247" s="20"/>
      <c r="L247" s="20"/>
      <c r="M247" s="20"/>
      <c r="N247" s="20"/>
      <c r="O247" s="21">
        <v>50</v>
      </c>
      <c r="P247" s="19"/>
      <c r="Q247" s="7"/>
      <c r="AB247" s="7"/>
    </row>
    <row r="248" spans="1:28" ht="56" x14ac:dyDescent="0.15">
      <c r="A248">
        <f t="shared" si="0"/>
        <v>0</v>
      </c>
      <c r="B248" s="1" t="s">
        <v>921</v>
      </c>
      <c r="C248" s="7" t="s">
        <v>1019</v>
      </c>
      <c r="D248" s="7" t="s">
        <v>1020</v>
      </c>
      <c r="E248" s="7" t="s">
        <v>1021</v>
      </c>
      <c r="F248" s="9" t="s">
        <v>1022</v>
      </c>
      <c r="G248" s="1" t="s">
        <v>1023</v>
      </c>
      <c r="H248" s="10"/>
      <c r="I248" s="10"/>
      <c r="J248" s="10">
        <v>6</v>
      </c>
      <c r="K248" s="10"/>
      <c r="L248" s="10">
        <v>6</v>
      </c>
      <c r="M248" s="10">
        <v>6</v>
      </c>
      <c r="N248" s="10"/>
      <c r="O248" s="7">
        <v>5</v>
      </c>
      <c r="P248" s="7">
        <v>30</v>
      </c>
      <c r="Q248" s="7">
        <v>85</v>
      </c>
      <c r="AB248" s="7"/>
    </row>
    <row r="249" spans="1:28" ht="56" x14ac:dyDescent="0.15">
      <c r="A249">
        <f t="shared" si="0"/>
        <v>0</v>
      </c>
      <c r="B249" s="1" t="s">
        <v>921</v>
      </c>
      <c r="C249" s="7" t="s">
        <v>1024</v>
      </c>
      <c r="D249" s="7" t="s">
        <v>1025</v>
      </c>
      <c r="E249" s="7" t="s">
        <v>1026</v>
      </c>
      <c r="F249" s="9" t="s">
        <v>39</v>
      </c>
      <c r="G249" s="1" t="s">
        <v>1027</v>
      </c>
      <c r="H249" s="10">
        <v>12</v>
      </c>
      <c r="I249" s="10"/>
      <c r="J249" s="10"/>
      <c r="K249" s="10"/>
      <c r="L249" s="10"/>
      <c r="M249" s="10">
        <v>12</v>
      </c>
      <c r="N249" s="10"/>
      <c r="O249" s="7">
        <v>15</v>
      </c>
      <c r="P249" s="7"/>
      <c r="Q249" s="7"/>
      <c r="AB249" s="7"/>
    </row>
    <row r="250" spans="1:28" ht="56" x14ac:dyDescent="0.15">
      <c r="A250">
        <f t="shared" si="0"/>
        <v>0</v>
      </c>
      <c r="B250" s="1" t="s">
        <v>921</v>
      </c>
      <c r="C250" s="7" t="s">
        <v>1028</v>
      </c>
      <c r="D250" s="7" t="s">
        <v>1029</v>
      </c>
      <c r="E250" s="7" t="s">
        <v>1030</v>
      </c>
      <c r="F250" s="9" t="s">
        <v>185</v>
      </c>
      <c r="G250" s="1" t="s">
        <v>535</v>
      </c>
      <c r="H250" s="10"/>
      <c r="I250" s="10"/>
      <c r="J250" s="10"/>
      <c r="K250" s="10">
        <v>8</v>
      </c>
      <c r="L250" s="10"/>
      <c r="M250" s="10">
        <v>8</v>
      </c>
      <c r="N250" s="10"/>
      <c r="O250" s="7">
        <v>30</v>
      </c>
      <c r="P250" s="7"/>
      <c r="Q250" s="7"/>
      <c r="AB250" s="7"/>
    </row>
    <row r="251" spans="1:28" ht="42" x14ac:dyDescent="0.15">
      <c r="A251">
        <f t="shared" si="0"/>
        <v>0</v>
      </c>
      <c r="B251" s="1" t="s">
        <v>921</v>
      </c>
      <c r="C251" s="7" t="s">
        <v>1031</v>
      </c>
      <c r="D251" s="7" t="s">
        <v>1032</v>
      </c>
      <c r="E251" s="7" t="s">
        <v>1032</v>
      </c>
      <c r="F251" s="9" t="s">
        <v>235</v>
      </c>
      <c r="G251" s="1" t="s">
        <v>1033</v>
      </c>
      <c r="H251" s="10"/>
      <c r="I251" s="10">
        <v>2</v>
      </c>
      <c r="J251" s="10"/>
      <c r="K251" s="10"/>
      <c r="L251" s="10">
        <v>2</v>
      </c>
      <c r="M251" s="10">
        <v>4</v>
      </c>
      <c r="N251" s="10"/>
      <c r="O251" s="7">
        <v>5</v>
      </c>
      <c r="P251" s="7"/>
      <c r="Q251" s="7"/>
      <c r="AB251" s="7"/>
    </row>
    <row r="252" spans="1:28" ht="42" x14ac:dyDescent="0.15">
      <c r="A252">
        <f t="shared" si="0"/>
        <v>0</v>
      </c>
      <c r="B252" s="1" t="s">
        <v>921</v>
      </c>
      <c r="C252" s="7" t="s">
        <v>1034</v>
      </c>
      <c r="D252" s="7" t="s">
        <v>1035</v>
      </c>
      <c r="E252" s="7" t="s">
        <v>1036</v>
      </c>
      <c r="F252" s="9" t="s">
        <v>235</v>
      </c>
      <c r="G252" s="1" t="s">
        <v>994</v>
      </c>
      <c r="H252" s="10"/>
      <c r="I252" s="10"/>
      <c r="J252" s="10"/>
      <c r="K252" s="10">
        <v>6</v>
      </c>
      <c r="L252" s="10">
        <v>6</v>
      </c>
      <c r="M252" s="10">
        <v>6</v>
      </c>
      <c r="N252" s="10"/>
      <c r="O252" s="7">
        <v>5</v>
      </c>
      <c r="P252" s="7"/>
      <c r="Q252" s="7"/>
      <c r="AB252" s="7"/>
    </row>
    <row r="253" spans="1:28" ht="70" x14ac:dyDescent="0.15">
      <c r="A253">
        <f t="shared" si="0"/>
        <v>0</v>
      </c>
      <c r="B253" s="1" t="s">
        <v>921</v>
      </c>
      <c r="C253" s="7" t="s">
        <v>1037</v>
      </c>
      <c r="D253" s="7" t="s">
        <v>1038</v>
      </c>
      <c r="E253" s="7" t="s">
        <v>1039</v>
      </c>
      <c r="F253" s="9" t="s">
        <v>235</v>
      </c>
      <c r="G253" s="1" t="s">
        <v>1040</v>
      </c>
      <c r="H253" s="10">
        <v>4</v>
      </c>
      <c r="I253" s="10"/>
      <c r="J253" s="10"/>
      <c r="K253" s="10">
        <v>4</v>
      </c>
      <c r="L253" s="10"/>
      <c r="M253" s="10">
        <v>4</v>
      </c>
      <c r="N253" s="10"/>
      <c r="O253" s="7">
        <v>5</v>
      </c>
      <c r="P253" s="7"/>
      <c r="Q253" s="7"/>
      <c r="AB253" s="7"/>
    </row>
    <row r="254" spans="1:28" ht="42" x14ac:dyDescent="0.15">
      <c r="A254">
        <f t="shared" si="0"/>
        <v>0</v>
      </c>
      <c r="B254" s="1" t="s">
        <v>921</v>
      </c>
      <c r="C254" s="7" t="s">
        <v>1041</v>
      </c>
      <c r="D254" s="7" t="s">
        <v>1042</v>
      </c>
      <c r="E254" s="7" t="s">
        <v>1043</v>
      </c>
      <c r="F254" s="9" t="s">
        <v>107</v>
      </c>
      <c r="G254" s="1" t="s">
        <v>1044</v>
      </c>
      <c r="H254" s="10"/>
      <c r="I254" s="10"/>
      <c r="J254" s="10">
        <v>10</v>
      </c>
      <c r="K254" s="10">
        <v>10</v>
      </c>
      <c r="L254" s="10"/>
      <c r="M254" s="10">
        <v>10</v>
      </c>
      <c r="N254" s="10"/>
      <c r="O254" s="7">
        <v>20</v>
      </c>
      <c r="P254" s="7"/>
      <c r="Q254" s="7"/>
      <c r="AB254" s="7"/>
    </row>
    <row r="255" spans="1:28" ht="42" x14ac:dyDescent="0.15">
      <c r="A255">
        <f t="shared" si="0"/>
        <v>0</v>
      </c>
      <c r="B255" s="1" t="s">
        <v>921</v>
      </c>
      <c r="C255" s="7" t="s">
        <v>1045</v>
      </c>
      <c r="D255" s="7" t="s">
        <v>1046</v>
      </c>
      <c r="E255" s="7" t="s">
        <v>1047</v>
      </c>
      <c r="F255" s="9" t="s">
        <v>1048</v>
      </c>
      <c r="G255" s="1" t="s">
        <v>1049</v>
      </c>
      <c r="H255" s="10"/>
      <c r="I255" s="10"/>
      <c r="J255" s="10"/>
      <c r="K255" s="10"/>
      <c r="L255" s="10">
        <v>2</v>
      </c>
      <c r="M255" s="10">
        <v>2</v>
      </c>
      <c r="N255" s="10"/>
      <c r="O255" s="7">
        <v>4</v>
      </c>
      <c r="P255" s="7">
        <v>12</v>
      </c>
      <c r="Q255" s="7">
        <v>24</v>
      </c>
      <c r="R255" s="1">
        <v>40</v>
      </c>
      <c r="S255" s="1">
        <v>60</v>
      </c>
      <c r="T255" s="1">
        <v>84</v>
      </c>
      <c r="U255" s="1">
        <v>112</v>
      </c>
      <c r="V255" s="1">
        <v>144</v>
      </c>
      <c r="W255" s="1">
        <v>180</v>
      </c>
      <c r="X255" s="1">
        <v>220</v>
      </c>
      <c r="Y255" s="1" t="s">
        <v>1050</v>
      </c>
      <c r="AB255" s="7"/>
    </row>
    <row r="256" spans="1:28" ht="168" x14ac:dyDescent="0.15">
      <c r="A256">
        <f t="shared" si="0"/>
        <v>0</v>
      </c>
      <c r="B256" s="1" t="s">
        <v>921</v>
      </c>
      <c r="C256" s="7" t="s">
        <v>1051</v>
      </c>
      <c r="D256" s="7" t="s">
        <v>1052</v>
      </c>
      <c r="E256" s="7" t="s">
        <v>1053</v>
      </c>
      <c r="F256" s="9" t="s">
        <v>127</v>
      </c>
      <c r="G256" s="1" t="s">
        <v>1054</v>
      </c>
      <c r="H256" s="10"/>
      <c r="I256" s="10"/>
      <c r="J256" s="10"/>
      <c r="K256" s="10"/>
      <c r="L256" s="10"/>
      <c r="M256" s="10"/>
      <c r="N256" s="10"/>
      <c r="O256" s="7">
        <v>50</v>
      </c>
      <c r="P256" s="7"/>
      <c r="Q256" s="7"/>
      <c r="AB256" s="7"/>
    </row>
    <row r="257" spans="1:28" ht="42" x14ac:dyDescent="0.15">
      <c r="A257">
        <f t="shared" si="0"/>
        <v>0</v>
      </c>
      <c r="B257" s="1" t="s">
        <v>921</v>
      </c>
      <c r="C257" s="7" t="s">
        <v>1055</v>
      </c>
      <c r="D257" s="7" t="s">
        <v>1056</v>
      </c>
      <c r="E257" s="7" t="s">
        <v>1057</v>
      </c>
      <c r="F257" s="9" t="s">
        <v>1058</v>
      </c>
      <c r="G257" s="1" t="s">
        <v>1059</v>
      </c>
      <c r="H257" s="10"/>
      <c r="I257" s="10">
        <v>4</v>
      </c>
      <c r="J257" s="10">
        <v>4</v>
      </c>
      <c r="K257" s="10"/>
      <c r="L257" s="10"/>
      <c r="M257" s="10">
        <v>4</v>
      </c>
      <c r="N257" s="10"/>
      <c r="O257" s="7">
        <v>5</v>
      </c>
      <c r="P257" s="7">
        <v>10</v>
      </c>
      <c r="Q257" s="7">
        <v>20</v>
      </c>
      <c r="AB257" s="7"/>
    </row>
    <row r="258" spans="1:28" ht="126" x14ac:dyDescent="0.15">
      <c r="A258">
        <f t="shared" ref="A258:A512" si="1">ISBLANK(B258)+ISBLANK(C258)+ISBLANK(D258)+ISBLANK(E258)+ISBLANK(F258)+ISBLANK(G258)</f>
        <v>0</v>
      </c>
      <c r="B258" s="1" t="s">
        <v>921</v>
      </c>
      <c r="C258" s="7" t="s">
        <v>1060</v>
      </c>
      <c r="D258" s="7" t="s">
        <v>1061</v>
      </c>
      <c r="E258" s="7" t="s">
        <v>1062</v>
      </c>
      <c r="F258" s="9" t="s">
        <v>27</v>
      </c>
      <c r="G258" s="1" t="s">
        <v>1063</v>
      </c>
      <c r="H258" s="10"/>
      <c r="I258" s="10">
        <v>6</v>
      </c>
      <c r="J258" s="10">
        <v>6</v>
      </c>
      <c r="K258" s="10">
        <v>6</v>
      </c>
      <c r="L258" s="10"/>
      <c r="M258" s="10">
        <v>6</v>
      </c>
      <c r="N258" s="10"/>
      <c r="O258" s="7">
        <v>10</v>
      </c>
      <c r="P258" s="7"/>
      <c r="Q258" s="7"/>
      <c r="AB258" s="7"/>
    </row>
    <row r="259" spans="1:28" ht="28" x14ac:dyDescent="0.15">
      <c r="A259">
        <f t="shared" si="1"/>
        <v>0</v>
      </c>
      <c r="B259" s="1" t="s">
        <v>921</v>
      </c>
      <c r="C259" s="7" t="s">
        <v>1064</v>
      </c>
      <c r="D259" s="7" t="s">
        <v>1065</v>
      </c>
      <c r="E259" s="7" t="s">
        <v>1066</v>
      </c>
      <c r="F259" s="9" t="s">
        <v>389</v>
      </c>
      <c r="G259" s="1">
        <v>16</v>
      </c>
      <c r="H259" s="10">
        <v>16</v>
      </c>
      <c r="I259" s="10">
        <v>16</v>
      </c>
      <c r="J259" s="10">
        <v>16</v>
      </c>
      <c r="K259" s="10">
        <v>16</v>
      </c>
      <c r="L259" s="10">
        <v>16</v>
      </c>
      <c r="M259" s="10">
        <v>16</v>
      </c>
      <c r="N259" s="10"/>
      <c r="O259" s="7">
        <v>60</v>
      </c>
      <c r="P259" s="7"/>
      <c r="Q259" s="7"/>
      <c r="AB259" s="7"/>
    </row>
    <row r="260" spans="1:28" ht="28" x14ac:dyDescent="0.15">
      <c r="A260">
        <f t="shared" si="1"/>
        <v>0</v>
      </c>
      <c r="B260" s="1" t="s">
        <v>921</v>
      </c>
      <c r="C260" s="7" t="s">
        <v>1067</v>
      </c>
      <c r="D260" s="7" t="s">
        <v>1068</v>
      </c>
      <c r="E260" s="7" t="s">
        <v>1069</v>
      </c>
      <c r="F260" s="9" t="s">
        <v>50</v>
      </c>
      <c r="G260" s="1">
        <v>16</v>
      </c>
      <c r="H260" s="10">
        <v>16</v>
      </c>
      <c r="I260" s="10">
        <v>16</v>
      </c>
      <c r="J260" s="10">
        <v>16</v>
      </c>
      <c r="K260" s="10">
        <v>16</v>
      </c>
      <c r="L260" s="10">
        <v>16</v>
      </c>
      <c r="M260" s="10">
        <v>16</v>
      </c>
      <c r="N260" s="10"/>
      <c r="O260" s="7">
        <v>100</v>
      </c>
      <c r="P260" s="7"/>
      <c r="Q260" s="7"/>
      <c r="AB260" s="7"/>
    </row>
    <row r="261" spans="1:28" ht="56" x14ac:dyDescent="0.15">
      <c r="A261">
        <f t="shared" si="1"/>
        <v>0</v>
      </c>
      <c r="B261" s="1" t="s">
        <v>921</v>
      </c>
      <c r="C261" s="7" t="s">
        <v>1070</v>
      </c>
      <c r="D261" s="7" t="s">
        <v>1071</v>
      </c>
      <c r="E261" s="7" t="s">
        <v>1072</v>
      </c>
      <c r="F261" s="9" t="s">
        <v>1073</v>
      </c>
      <c r="G261" s="1">
        <v>16</v>
      </c>
      <c r="H261" s="10">
        <v>16</v>
      </c>
      <c r="I261" s="10">
        <v>16</v>
      </c>
      <c r="J261" s="10">
        <v>16</v>
      </c>
      <c r="K261" s="10">
        <v>16</v>
      </c>
      <c r="L261" s="10">
        <v>16</v>
      </c>
      <c r="M261" s="10">
        <v>16</v>
      </c>
      <c r="N261" s="10"/>
      <c r="O261" s="7">
        <v>60</v>
      </c>
      <c r="P261" s="7">
        <v>140</v>
      </c>
      <c r="Q261" s="7"/>
      <c r="AB261" s="7"/>
    </row>
    <row r="262" spans="1:28" ht="56" x14ac:dyDescent="0.15">
      <c r="A262">
        <f t="shared" si="1"/>
        <v>0</v>
      </c>
      <c r="B262" s="1" t="s">
        <v>921</v>
      </c>
      <c r="C262" s="7" t="s">
        <v>1074</v>
      </c>
      <c r="D262" s="7" t="s">
        <v>1075</v>
      </c>
      <c r="E262" s="7" t="s">
        <v>1076</v>
      </c>
      <c r="F262" s="9" t="s">
        <v>112</v>
      </c>
      <c r="G262" s="1">
        <v>16</v>
      </c>
      <c r="H262" s="10">
        <v>16</v>
      </c>
      <c r="I262" s="10">
        <v>161</v>
      </c>
      <c r="J262" s="10">
        <v>16</v>
      </c>
      <c r="K262" s="10">
        <v>16</v>
      </c>
      <c r="L262" s="10">
        <v>16</v>
      </c>
      <c r="M262" s="10">
        <v>16</v>
      </c>
      <c r="N262" s="10"/>
      <c r="O262" s="7">
        <v>40</v>
      </c>
      <c r="P262" s="7"/>
      <c r="Q262" s="7"/>
      <c r="AB262" s="7"/>
    </row>
    <row r="263" spans="1:28" ht="56" x14ac:dyDescent="0.15">
      <c r="A263">
        <f t="shared" si="1"/>
        <v>0</v>
      </c>
      <c r="B263" s="1" t="s">
        <v>921</v>
      </c>
      <c r="C263" s="7" t="s">
        <v>1077</v>
      </c>
      <c r="D263" s="7" t="s">
        <v>1078</v>
      </c>
      <c r="E263" s="7" t="s">
        <v>1079</v>
      </c>
      <c r="F263" s="9" t="s">
        <v>235</v>
      </c>
      <c r="G263" s="1" t="s">
        <v>657</v>
      </c>
      <c r="H263" s="10"/>
      <c r="I263" s="10"/>
      <c r="J263" s="10"/>
      <c r="K263" s="10"/>
      <c r="L263" s="10"/>
      <c r="M263" s="10"/>
      <c r="N263" s="10"/>
      <c r="O263" s="7">
        <v>5</v>
      </c>
      <c r="P263" s="7"/>
      <c r="Q263" s="7"/>
      <c r="AB263" s="7"/>
    </row>
    <row r="264" spans="1:28" ht="56" x14ac:dyDescent="0.15">
      <c r="A264">
        <f t="shared" si="1"/>
        <v>0</v>
      </c>
      <c r="B264" s="1" t="s">
        <v>921</v>
      </c>
      <c r="C264" s="7" t="s">
        <v>1080</v>
      </c>
      <c r="D264" s="7" t="s">
        <v>1081</v>
      </c>
      <c r="E264" s="7" t="s">
        <v>1082</v>
      </c>
      <c r="F264" s="9" t="s">
        <v>735</v>
      </c>
      <c r="G264" s="1" t="s">
        <v>580</v>
      </c>
      <c r="H264" s="10"/>
      <c r="I264" s="10"/>
      <c r="J264" s="10">
        <v>2</v>
      </c>
      <c r="K264" s="10">
        <v>2</v>
      </c>
      <c r="L264" s="10"/>
      <c r="M264" s="10">
        <v>2</v>
      </c>
      <c r="N264" s="10"/>
      <c r="O264" s="7">
        <v>5</v>
      </c>
      <c r="P264" s="7"/>
      <c r="Q264" s="7"/>
      <c r="AB264" s="7"/>
    </row>
    <row r="265" spans="1:28" ht="14" x14ac:dyDescent="0.15">
      <c r="A265">
        <f t="shared" si="1"/>
        <v>0</v>
      </c>
      <c r="B265" s="1" t="s">
        <v>921</v>
      </c>
      <c r="C265" s="7" t="s">
        <v>1083</v>
      </c>
      <c r="D265" s="7" t="s">
        <v>1084</v>
      </c>
      <c r="E265" s="7" t="s">
        <v>1085</v>
      </c>
      <c r="F265" s="9" t="s">
        <v>1086</v>
      </c>
      <c r="G265" s="1" t="s">
        <v>1087</v>
      </c>
      <c r="H265" s="10"/>
      <c r="I265" s="10"/>
      <c r="J265" s="10"/>
      <c r="K265" s="10">
        <v>2</v>
      </c>
      <c r="L265" s="10">
        <v>2</v>
      </c>
      <c r="M265" s="10">
        <v>2</v>
      </c>
      <c r="N265" s="10"/>
      <c r="O265" s="7">
        <v>4</v>
      </c>
      <c r="P265" s="7">
        <f t="shared" ref="P265:X265" si="2">O265+4</f>
        <v>8</v>
      </c>
      <c r="Q265" s="7">
        <f t="shared" si="2"/>
        <v>12</v>
      </c>
      <c r="R265" s="7">
        <f t="shared" si="2"/>
        <v>16</v>
      </c>
      <c r="S265" s="7">
        <f t="shared" si="2"/>
        <v>20</v>
      </c>
      <c r="T265" s="7">
        <f t="shared" si="2"/>
        <v>24</v>
      </c>
      <c r="U265" s="7">
        <f t="shared" si="2"/>
        <v>28</v>
      </c>
      <c r="V265" s="7">
        <f t="shared" si="2"/>
        <v>32</v>
      </c>
      <c r="W265" s="7">
        <f t="shared" si="2"/>
        <v>36</v>
      </c>
      <c r="X265" s="7">
        <f t="shared" si="2"/>
        <v>40</v>
      </c>
      <c r="AB265" s="7"/>
    </row>
    <row r="266" spans="1:28" ht="42" x14ac:dyDescent="0.15">
      <c r="A266">
        <f t="shared" si="1"/>
        <v>0</v>
      </c>
      <c r="B266" s="1" t="s">
        <v>921</v>
      </c>
      <c r="C266" s="7" t="s">
        <v>1088</v>
      </c>
      <c r="D266" s="7" t="s">
        <v>1089</v>
      </c>
      <c r="E266" s="7" t="s">
        <v>1090</v>
      </c>
      <c r="F266" s="9" t="s">
        <v>107</v>
      </c>
      <c r="G266" s="1" t="s">
        <v>1091</v>
      </c>
      <c r="H266" s="10"/>
      <c r="I266" s="10"/>
      <c r="J266" s="10"/>
      <c r="K266" s="10"/>
      <c r="L266" s="10"/>
      <c r="M266" s="10"/>
      <c r="N266" s="10"/>
      <c r="O266" s="7">
        <v>20</v>
      </c>
      <c r="P266" s="7"/>
      <c r="Q266" s="7"/>
      <c r="AB266" s="7"/>
    </row>
    <row r="267" spans="1:28" ht="126" x14ac:dyDescent="0.15">
      <c r="A267">
        <f t="shared" si="1"/>
        <v>0</v>
      </c>
      <c r="B267" s="1" t="s">
        <v>921</v>
      </c>
      <c r="C267" s="7" t="s">
        <v>1092</v>
      </c>
      <c r="D267" s="7" t="s">
        <v>1093</v>
      </c>
      <c r="E267" s="7" t="s">
        <v>1094</v>
      </c>
      <c r="F267" s="9" t="s">
        <v>235</v>
      </c>
      <c r="G267" s="1" t="s">
        <v>1095</v>
      </c>
      <c r="H267" s="10">
        <v>2</v>
      </c>
      <c r="I267" s="10"/>
      <c r="J267" s="10">
        <v>2</v>
      </c>
      <c r="K267" s="10"/>
      <c r="L267" s="10"/>
      <c r="M267" s="10">
        <v>2</v>
      </c>
      <c r="N267" s="10"/>
      <c r="O267" s="7">
        <v>5</v>
      </c>
      <c r="P267" s="7"/>
      <c r="Q267" s="7"/>
      <c r="AB267" s="7"/>
    </row>
    <row r="268" spans="1:28" ht="126" x14ac:dyDescent="0.15">
      <c r="A268">
        <f t="shared" si="1"/>
        <v>0</v>
      </c>
      <c r="B268" s="1" t="s">
        <v>921</v>
      </c>
      <c r="C268" s="7" t="s">
        <v>1096</v>
      </c>
      <c r="D268" s="7" t="s">
        <v>1097</v>
      </c>
      <c r="E268" s="7" t="s">
        <v>1098</v>
      </c>
      <c r="F268" s="9" t="s">
        <v>107</v>
      </c>
      <c r="G268" s="1" t="s">
        <v>605</v>
      </c>
      <c r="H268" s="10"/>
      <c r="I268" s="10"/>
      <c r="J268" s="10"/>
      <c r="K268" s="10"/>
      <c r="L268" s="10"/>
      <c r="M268" s="10"/>
      <c r="N268" s="10"/>
      <c r="O268" s="7">
        <v>20</v>
      </c>
      <c r="P268" s="7"/>
      <c r="Q268" s="7"/>
      <c r="AB268" s="7"/>
    </row>
    <row r="269" spans="1:28" ht="56" x14ac:dyDescent="0.15">
      <c r="A269">
        <f t="shared" si="1"/>
        <v>0</v>
      </c>
      <c r="B269" s="1" t="s">
        <v>921</v>
      </c>
      <c r="C269" s="7" t="s">
        <v>1099</v>
      </c>
      <c r="D269" s="7" t="s">
        <v>1100</v>
      </c>
      <c r="E269" s="7" t="s">
        <v>1101</v>
      </c>
      <c r="F269" s="9" t="s">
        <v>235</v>
      </c>
      <c r="G269" s="1" t="s">
        <v>888</v>
      </c>
      <c r="H269" s="10"/>
      <c r="I269" s="10"/>
      <c r="J269" s="10"/>
      <c r="K269" s="10"/>
      <c r="L269" s="10">
        <v>6</v>
      </c>
      <c r="M269" s="10">
        <v>6</v>
      </c>
      <c r="N269" s="10"/>
      <c r="O269" s="7">
        <v>5</v>
      </c>
      <c r="P269" s="7"/>
      <c r="Q269" s="7"/>
      <c r="AB269" s="7"/>
    </row>
    <row r="270" spans="1:28" ht="154" x14ac:dyDescent="0.15">
      <c r="A270">
        <f t="shared" si="1"/>
        <v>0</v>
      </c>
      <c r="B270" s="1" t="s">
        <v>921</v>
      </c>
      <c r="C270" s="7" t="s">
        <v>1102</v>
      </c>
      <c r="D270" s="7" t="s">
        <v>1103</v>
      </c>
      <c r="E270" s="7" t="s">
        <v>1104</v>
      </c>
      <c r="F270" s="9" t="s">
        <v>235</v>
      </c>
      <c r="G270" s="1" t="s">
        <v>1105</v>
      </c>
      <c r="H270" s="10">
        <v>3</v>
      </c>
      <c r="I270" s="10"/>
      <c r="J270" s="10">
        <v>3</v>
      </c>
      <c r="K270" s="10"/>
      <c r="L270" s="10"/>
      <c r="M270" s="10">
        <v>6</v>
      </c>
      <c r="N270" s="10"/>
      <c r="O270" s="7">
        <v>5</v>
      </c>
      <c r="P270" s="7"/>
      <c r="Q270" s="7"/>
      <c r="AB270" s="7"/>
    </row>
    <row r="271" spans="1:28" ht="14" x14ac:dyDescent="0.15">
      <c r="A271">
        <f t="shared" si="1"/>
        <v>0</v>
      </c>
      <c r="B271" s="1" t="s">
        <v>921</v>
      </c>
      <c r="C271" s="7" t="s">
        <v>1106</v>
      </c>
      <c r="D271" s="7" t="s">
        <v>1107</v>
      </c>
      <c r="E271" s="7" t="s">
        <v>1108</v>
      </c>
      <c r="F271" s="9" t="s">
        <v>824</v>
      </c>
      <c r="G271" s="1" t="s">
        <v>1109</v>
      </c>
      <c r="H271" s="10"/>
      <c r="I271" s="10"/>
      <c r="J271" s="10"/>
      <c r="K271" s="10"/>
      <c r="L271" s="10"/>
      <c r="M271" s="10"/>
      <c r="N271" s="10"/>
      <c r="O271" s="7">
        <v>5</v>
      </c>
      <c r="P271" s="7">
        <v>15</v>
      </c>
      <c r="Q271" s="7"/>
      <c r="AB271" s="7"/>
    </row>
    <row r="272" spans="1:28" ht="252" x14ac:dyDescent="0.15">
      <c r="A272">
        <f t="shared" si="1"/>
        <v>0</v>
      </c>
      <c r="B272" s="1" t="s">
        <v>921</v>
      </c>
      <c r="C272" s="7" t="s">
        <v>1110</v>
      </c>
      <c r="D272" s="7" t="s">
        <v>1111</v>
      </c>
      <c r="E272" s="7" t="s">
        <v>1112</v>
      </c>
      <c r="F272" s="9" t="s">
        <v>1113</v>
      </c>
      <c r="G272" s="1" t="s">
        <v>1114</v>
      </c>
      <c r="H272" s="10">
        <v>8</v>
      </c>
      <c r="I272" s="10">
        <v>8</v>
      </c>
      <c r="J272" s="10">
        <v>8</v>
      </c>
      <c r="K272" s="10">
        <v>8</v>
      </c>
      <c r="L272" s="10"/>
      <c r="M272" s="10">
        <v>8</v>
      </c>
      <c r="N272" s="10"/>
      <c r="O272" s="7">
        <v>10</v>
      </c>
      <c r="P272" s="7">
        <v>40</v>
      </c>
      <c r="Q272" s="7">
        <v>60</v>
      </c>
      <c r="R272" s="1">
        <v>80</v>
      </c>
      <c r="S272" s="1">
        <v>100</v>
      </c>
      <c r="AB272" s="7"/>
    </row>
    <row r="273" spans="1:28" ht="168" x14ac:dyDescent="0.15">
      <c r="A273">
        <f t="shared" si="1"/>
        <v>0</v>
      </c>
      <c r="B273" s="1" t="s">
        <v>921</v>
      </c>
      <c r="C273" s="7" t="s">
        <v>1115</v>
      </c>
      <c r="D273" s="1" t="s">
        <v>1116</v>
      </c>
      <c r="E273" s="7" t="s">
        <v>1117</v>
      </c>
      <c r="F273" s="9" t="s">
        <v>235</v>
      </c>
      <c r="G273" s="1" t="s">
        <v>1118</v>
      </c>
      <c r="H273" s="10"/>
      <c r="I273" s="10"/>
      <c r="J273" s="10">
        <v>2</v>
      </c>
      <c r="K273" s="10"/>
      <c r="L273" s="10">
        <v>2</v>
      </c>
      <c r="M273" s="10">
        <v>2</v>
      </c>
      <c r="N273" s="10"/>
      <c r="O273" s="7">
        <v>5</v>
      </c>
      <c r="P273" s="7"/>
      <c r="Q273" s="7"/>
      <c r="AB273" s="7"/>
    </row>
    <row r="274" spans="1:28" ht="14" x14ac:dyDescent="0.15">
      <c r="A274">
        <f t="shared" si="1"/>
        <v>0</v>
      </c>
      <c r="B274" s="1" t="s">
        <v>921</v>
      </c>
      <c r="C274" s="7" t="s">
        <v>1119</v>
      </c>
      <c r="D274" s="7" t="s">
        <v>1120</v>
      </c>
      <c r="E274" s="7" t="s">
        <v>1121</v>
      </c>
      <c r="F274" s="9" t="s">
        <v>50</v>
      </c>
      <c r="G274" s="1" t="s">
        <v>51</v>
      </c>
      <c r="H274" s="10">
        <v>9</v>
      </c>
      <c r="I274" s="10"/>
      <c r="J274" s="10"/>
      <c r="K274" s="10"/>
      <c r="L274" s="10">
        <v>9</v>
      </c>
      <c r="M274" s="10">
        <v>18</v>
      </c>
      <c r="N274" s="10"/>
      <c r="O274" s="7">
        <v>100</v>
      </c>
      <c r="P274" s="7"/>
      <c r="Q274" s="7"/>
      <c r="AB274" s="7"/>
    </row>
    <row r="275" spans="1:28" ht="56" x14ac:dyDescent="0.15">
      <c r="A275">
        <f t="shared" si="1"/>
        <v>0</v>
      </c>
      <c r="B275" s="1" t="s">
        <v>921</v>
      </c>
      <c r="C275" s="7" t="s">
        <v>1122</v>
      </c>
      <c r="D275" s="7" t="s">
        <v>1123</v>
      </c>
      <c r="E275" s="7" t="s">
        <v>1124</v>
      </c>
      <c r="F275" s="9" t="s">
        <v>235</v>
      </c>
      <c r="G275" s="1" t="s">
        <v>1125</v>
      </c>
      <c r="H275" s="10"/>
      <c r="I275" s="10"/>
      <c r="J275" s="10"/>
      <c r="K275" s="10">
        <v>6</v>
      </c>
      <c r="L275" s="10"/>
      <c r="M275" s="10">
        <v>6</v>
      </c>
      <c r="N275" s="10"/>
      <c r="O275" s="7">
        <v>5</v>
      </c>
      <c r="P275" s="7"/>
      <c r="Q275" s="7"/>
      <c r="AB275" s="7"/>
    </row>
    <row r="276" spans="1:28" ht="42" x14ac:dyDescent="0.15">
      <c r="A276">
        <f t="shared" si="1"/>
        <v>0</v>
      </c>
      <c r="B276" s="1" t="s">
        <v>921</v>
      </c>
      <c r="C276" s="7" t="s">
        <v>1126</v>
      </c>
      <c r="D276" s="7" t="s">
        <v>1127</v>
      </c>
      <c r="E276" s="7" t="s">
        <v>1128</v>
      </c>
      <c r="F276" s="9" t="s">
        <v>1129</v>
      </c>
      <c r="G276" s="1" t="s">
        <v>1130</v>
      </c>
      <c r="H276" s="10">
        <v>3</v>
      </c>
      <c r="I276" s="10"/>
      <c r="J276" s="10"/>
      <c r="K276" s="10">
        <v>3</v>
      </c>
      <c r="L276" s="10">
        <v>3</v>
      </c>
      <c r="M276" s="10">
        <v>6</v>
      </c>
      <c r="N276" s="10"/>
      <c r="O276" s="7">
        <v>20</v>
      </c>
      <c r="P276" s="7">
        <v>60</v>
      </c>
      <c r="Q276" s="7">
        <v>120</v>
      </c>
      <c r="R276" s="1">
        <v>200</v>
      </c>
      <c r="AB276" s="7"/>
    </row>
    <row r="277" spans="1:28" ht="56" x14ac:dyDescent="0.15">
      <c r="A277">
        <f t="shared" si="1"/>
        <v>0</v>
      </c>
      <c r="B277" s="1" t="s">
        <v>921</v>
      </c>
      <c r="C277" s="7" t="s">
        <v>1131</v>
      </c>
      <c r="D277" s="7" t="s">
        <v>1132</v>
      </c>
      <c r="E277" s="7" t="s">
        <v>1133</v>
      </c>
      <c r="F277" s="9" t="s">
        <v>39</v>
      </c>
      <c r="G277" s="1" t="s">
        <v>1134</v>
      </c>
      <c r="H277" s="10"/>
      <c r="I277" s="10">
        <v>5</v>
      </c>
      <c r="J277" s="10">
        <v>5</v>
      </c>
      <c r="K277" s="10"/>
      <c r="L277" s="10"/>
      <c r="M277" s="10">
        <v>10</v>
      </c>
      <c r="N277" s="10"/>
      <c r="O277" s="7">
        <v>15</v>
      </c>
      <c r="P277" s="7"/>
      <c r="Q277" s="7"/>
      <c r="AB277" s="7"/>
    </row>
    <row r="278" spans="1:28" ht="56" x14ac:dyDescent="0.15">
      <c r="A278">
        <f t="shared" si="1"/>
        <v>0</v>
      </c>
      <c r="B278" s="1" t="s">
        <v>921</v>
      </c>
      <c r="C278" s="7" t="s">
        <v>1135</v>
      </c>
      <c r="D278" s="7" t="s">
        <v>1136</v>
      </c>
      <c r="E278" s="7" t="s">
        <v>1137</v>
      </c>
      <c r="F278" s="9" t="s">
        <v>962</v>
      </c>
      <c r="G278" s="1" t="s">
        <v>1138</v>
      </c>
      <c r="H278" s="10"/>
      <c r="I278" s="10"/>
      <c r="J278" s="10">
        <v>6</v>
      </c>
      <c r="K278" s="10"/>
      <c r="L278" s="10">
        <v>6</v>
      </c>
      <c r="M278" s="10">
        <v>6</v>
      </c>
      <c r="N278" s="10"/>
      <c r="O278" s="7">
        <v>10</v>
      </c>
      <c r="P278" s="7">
        <v>30</v>
      </c>
      <c r="Q278" s="7">
        <v>60</v>
      </c>
      <c r="R278" s="1">
        <v>100</v>
      </c>
      <c r="AB278" s="7"/>
    </row>
    <row r="279" spans="1:28" ht="126" x14ac:dyDescent="0.15">
      <c r="A279">
        <f t="shared" si="1"/>
        <v>0</v>
      </c>
      <c r="B279" s="16" t="s">
        <v>921</v>
      </c>
      <c r="C279" s="16" t="s">
        <v>1139</v>
      </c>
      <c r="D279" s="16" t="s">
        <v>1140</v>
      </c>
      <c r="E279" s="16" t="s">
        <v>1141</v>
      </c>
      <c r="F279" s="24" t="s">
        <v>39</v>
      </c>
      <c r="G279" s="1" t="s">
        <v>1054</v>
      </c>
      <c r="H279" s="20"/>
      <c r="I279" s="20"/>
      <c r="J279" s="20"/>
      <c r="K279" s="20"/>
      <c r="L279" s="20"/>
      <c r="M279" s="20"/>
      <c r="N279" s="20"/>
      <c r="O279" s="21">
        <v>15</v>
      </c>
      <c r="P279" s="19"/>
      <c r="Q279" s="7"/>
      <c r="AB279" s="7"/>
    </row>
    <row r="280" spans="1:28" ht="56" x14ac:dyDescent="0.15">
      <c r="A280">
        <f t="shared" si="1"/>
        <v>0</v>
      </c>
      <c r="B280" s="1" t="s">
        <v>921</v>
      </c>
      <c r="C280" s="7" t="s">
        <v>1142</v>
      </c>
      <c r="D280" s="7" t="s">
        <v>1143</v>
      </c>
      <c r="E280" s="7" t="s">
        <v>1144</v>
      </c>
      <c r="F280" s="9" t="s">
        <v>735</v>
      </c>
      <c r="G280" s="1" t="s">
        <v>1145</v>
      </c>
      <c r="H280" s="10">
        <v>2</v>
      </c>
      <c r="I280" s="10"/>
      <c r="J280" s="10"/>
      <c r="K280" s="10">
        <v>2</v>
      </c>
      <c r="L280" s="10"/>
      <c r="M280" s="10">
        <v>2</v>
      </c>
      <c r="N280" s="10"/>
      <c r="O280" s="7">
        <v>5</v>
      </c>
      <c r="P280" s="7"/>
      <c r="Q280" s="7"/>
      <c r="AB280" s="7"/>
    </row>
    <row r="281" spans="1:28" ht="42" x14ac:dyDescent="0.15">
      <c r="A281">
        <f t="shared" si="1"/>
        <v>1</v>
      </c>
      <c r="B281" s="1" t="s">
        <v>921</v>
      </c>
      <c r="C281" s="7" t="s">
        <v>1146</v>
      </c>
      <c r="D281" s="7" t="s">
        <v>1147</v>
      </c>
      <c r="E281" s="7" t="s">
        <v>1148</v>
      </c>
      <c r="F281" s="9" t="s">
        <v>235</v>
      </c>
      <c r="H281" s="10">
        <v>4</v>
      </c>
      <c r="I281" s="10">
        <v>4</v>
      </c>
      <c r="J281" s="10">
        <v>4</v>
      </c>
      <c r="K281" s="10">
        <v>4</v>
      </c>
      <c r="L281" s="10">
        <v>4</v>
      </c>
      <c r="M281" s="10">
        <v>4</v>
      </c>
      <c r="N281" s="10"/>
      <c r="O281" s="7">
        <v>5</v>
      </c>
      <c r="P281" s="7"/>
      <c r="Q281" s="7"/>
      <c r="AB281" s="7"/>
    </row>
    <row r="282" spans="1:28" ht="28" x14ac:dyDescent="0.15">
      <c r="A282">
        <f t="shared" si="1"/>
        <v>0</v>
      </c>
      <c r="B282" s="1" t="s">
        <v>921</v>
      </c>
      <c r="C282" s="7" t="s">
        <v>1149</v>
      </c>
      <c r="D282" s="7" t="s">
        <v>1150</v>
      </c>
      <c r="E282" s="7" t="s">
        <v>1151</v>
      </c>
      <c r="F282" s="9" t="s">
        <v>235</v>
      </c>
      <c r="G282" s="1" t="s">
        <v>1152</v>
      </c>
      <c r="H282" s="10"/>
      <c r="I282" s="10"/>
      <c r="J282" s="10"/>
      <c r="K282" s="10"/>
      <c r="L282" s="10">
        <v>3</v>
      </c>
      <c r="M282" s="10">
        <v>3</v>
      </c>
      <c r="N282" s="10"/>
      <c r="O282" s="7">
        <v>5</v>
      </c>
      <c r="P282" s="7"/>
      <c r="Q282" s="7"/>
      <c r="AB282" s="7"/>
    </row>
    <row r="283" spans="1:28" ht="28" x14ac:dyDescent="0.15">
      <c r="A283">
        <f t="shared" si="1"/>
        <v>1</v>
      </c>
      <c r="B283" s="1" t="s">
        <v>921</v>
      </c>
      <c r="C283" s="7" t="s">
        <v>1153</v>
      </c>
      <c r="D283" s="7" t="s">
        <v>1154</v>
      </c>
      <c r="E283" s="7" t="s">
        <v>1155</v>
      </c>
      <c r="F283" s="9" t="s">
        <v>39</v>
      </c>
      <c r="H283" s="10"/>
      <c r="I283" s="10"/>
      <c r="J283" s="10"/>
      <c r="K283" s="10">
        <v>4</v>
      </c>
      <c r="L283" s="10">
        <v>4</v>
      </c>
      <c r="M283" s="10">
        <v>8</v>
      </c>
      <c r="N283" s="10"/>
      <c r="O283" s="7">
        <v>15</v>
      </c>
      <c r="P283" s="7"/>
      <c r="Q283" s="7"/>
      <c r="AB283" s="7"/>
    </row>
    <row r="284" spans="1:28" ht="42" x14ac:dyDescent="0.15">
      <c r="A284">
        <f t="shared" si="1"/>
        <v>0</v>
      </c>
      <c r="B284" s="1" t="s">
        <v>921</v>
      </c>
      <c r="C284" s="7" t="s">
        <v>1156</v>
      </c>
      <c r="D284" s="7" t="s">
        <v>1157</v>
      </c>
      <c r="E284" s="7" t="s">
        <v>1158</v>
      </c>
      <c r="F284" s="9" t="s">
        <v>235</v>
      </c>
      <c r="G284" s="1" t="s">
        <v>1159</v>
      </c>
      <c r="H284" s="10">
        <v>2</v>
      </c>
      <c r="I284" s="10"/>
      <c r="J284" s="10"/>
      <c r="K284" s="10"/>
      <c r="L284" s="10">
        <v>2</v>
      </c>
      <c r="M284" s="10">
        <v>2</v>
      </c>
      <c r="N284" s="10"/>
      <c r="O284" s="7">
        <v>5</v>
      </c>
      <c r="P284" s="7"/>
      <c r="Q284" s="7"/>
      <c r="AB284" s="7"/>
    </row>
    <row r="285" spans="1:28" ht="56" x14ac:dyDescent="0.15">
      <c r="A285">
        <f t="shared" si="1"/>
        <v>0</v>
      </c>
      <c r="B285" s="1" t="s">
        <v>921</v>
      </c>
      <c r="C285" s="7" t="s">
        <v>1160</v>
      </c>
      <c r="D285" s="7" t="s">
        <v>1161</v>
      </c>
      <c r="E285" s="7" t="s">
        <v>1162</v>
      </c>
      <c r="F285" s="9" t="s">
        <v>1163</v>
      </c>
      <c r="G285" s="1" t="s">
        <v>1164</v>
      </c>
      <c r="H285" s="10"/>
      <c r="I285" s="10"/>
      <c r="J285" s="10"/>
      <c r="K285" s="10"/>
      <c r="L285" s="10">
        <v>3</v>
      </c>
      <c r="M285" s="10">
        <v>3</v>
      </c>
      <c r="N285" s="10"/>
      <c r="O285" s="7">
        <v>5</v>
      </c>
      <c r="P285" s="7"/>
      <c r="Q285" s="7"/>
      <c r="AB285" s="7"/>
    </row>
    <row r="286" spans="1:28" ht="42" x14ac:dyDescent="0.15">
      <c r="A286">
        <f t="shared" si="1"/>
        <v>0</v>
      </c>
      <c r="B286" s="1" t="s">
        <v>921</v>
      </c>
      <c r="C286" s="7" t="s">
        <v>1165</v>
      </c>
      <c r="D286" s="7" t="s">
        <v>1166</v>
      </c>
      <c r="E286" s="7" t="s">
        <v>1167</v>
      </c>
      <c r="F286" s="9" t="s">
        <v>235</v>
      </c>
      <c r="G286" s="1" t="s">
        <v>1168</v>
      </c>
      <c r="H286" s="10"/>
      <c r="I286" s="10"/>
      <c r="J286" s="10"/>
      <c r="K286" s="10">
        <v>4</v>
      </c>
      <c r="L286" s="10"/>
      <c r="M286" s="10">
        <v>4</v>
      </c>
      <c r="N286" s="10"/>
      <c r="O286" s="7">
        <v>5</v>
      </c>
      <c r="P286" s="7"/>
      <c r="Q286" s="7"/>
      <c r="AB286" s="7"/>
    </row>
    <row r="287" spans="1:28" ht="84" x14ac:dyDescent="0.15">
      <c r="A287">
        <f t="shared" si="1"/>
        <v>0</v>
      </c>
      <c r="B287" s="1" t="s">
        <v>921</v>
      </c>
      <c r="C287" s="7" t="s">
        <v>1169</v>
      </c>
      <c r="D287" s="7" t="s">
        <v>1170</v>
      </c>
      <c r="E287" s="7" t="s">
        <v>1171</v>
      </c>
      <c r="F287" s="9" t="s">
        <v>185</v>
      </c>
      <c r="G287" s="1" t="s">
        <v>1172</v>
      </c>
      <c r="H287" s="10"/>
      <c r="I287" s="10"/>
      <c r="J287" s="10"/>
      <c r="K287" s="10"/>
      <c r="L287" s="10">
        <v>12</v>
      </c>
      <c r="M287" s="10">
        <v>12</v>
      </c>
      <c r="N287" s="10"/>
      <c r="O287" s="7">
        <v>30</v>
      </c>
      <c r="P287" s="7"/>
      <c r="Q287" s="7"/>
      <c r="AB287" s="7"/>
    </row>
    <row r="288" spans="1:28" ht="42" x14ac:dyDescent="0.15">
      <c r="A288">
        <f t="shared" si="1"/>
        <v>0</v>
      </c>
      <c r="B288" s="1" t="s">
        <v>921</v>
      </c>
      <c r="C288" s="7" t="s">
        <v>1173</v>
      </c>
      <c r="D288" s="7" t="s">
        <v>1174</v>
      </c>
      <c r="E288" s="7" t="s">
        <v>1175</v>
      </c>
      <c r="F288" s="9" t="s">
        <v>66</v>
      </c>
      <c r="G288" s="1" t="s">
        <v>82</v>
      </c>
      <c r="H288" s="10"/>
      <c r="I288" s="10"/>
      <c r="J288" s="10"/>
      <c r="K288" s="10"/>
      <c r="L288" s="10">
        <v>12</v>
      </c>
      <c r="M288" s="10">
        <v>12</v>
      </c>
      <c r="N288" s="10"/>
      <c r="O288" s="7">
        <v>20</v>
      </c>
      <c r="P288" s="7">
        <v>50</v>
      </c>
      <c r="Q288" s="7">
        <v>90</v>
      </c>
      <c r="AB288" s="7"/>
    </row>
    <row r="289" spans="1:30" ht="112" x14ac:dyDescent="0.15">
      <c r="A289">
        <f t="shared" si="1"/>
        <v>0</v>
      </c>
      <c r="B289" s="1" t="s">
        <v>921</v>
      </c>
      <c r="C289" s="7" t="s">
        <v>1176</v>
      </c>
      <c r="D289" s="7" t="s">
        <v>1177</v>
      </c>
      <c r="E289" s="7" t="s">
        <v>1178</v>
      </c>
      <c r="F289" s="9" t="s">
        <v>39</v>
      </c>
      <c r="G289" s="1" t="s">
        <v>473</v>
      </c>
      <c r="H289" s="10"/>
      <c r="I289" s="10"/>
      <c r="J289" s="10"/>
      <c r="K289" s="10"/>
      <c r="L289" s="10"/>
      <c r="M289" s="10"/>
      <c r="N289" s="10"/>
      <c r="O289" s="7">
        <v>15</v>
      </c>
      <c r="P289" s="7"/>
      <c r="Q289" s="7"/>
      <c r="AB289" s="7"/>
    </row>
    <row r="290" spans="1:30" ht="42" x14ac:dyDescent="0.15">
      <c r="A290">
        <f t="shared" si="1"/>
        <v>0</v>
      </c>
      <c r="B290" s="1" t="s">
        <v>921</v>
      </c>
      <c r="C290" s="7" t="s">
        <v>1179</v>
      </c>
      <c r="D290" s="7" t="s">
        <v>1180</v>
      </c>
      <c r="E290" s="7" t="s">
        <v>1181</v>
      </c>
      <c r="F290" s="9" t="s">
        <v>27</v>
      </c>
      <c r="G290" s="1" t="s">
        <v>1182</v>
      </c>
      <c r="H290" s="10">
        <v>8</v>
      </c>
      <c r="I290" s="10"/>
      <c r="J290" s="10"/>
      <c r="K290" s="10"/>
      <c r="L290" s="10">
        <v>8</v>
      </c>
      <c r="M290" s="10">
        <v>8</v>
      </c>
      <c r="N290" s="10"/>
      <c r="O290" s="7">
        <v>10</v>
      </c>
      <c r="P290" s="7"/>
      <c r="Q290" s="7"/>
      <c r="AB290" s="7"/>
    </row>
    <row r="291" spans="1:30" ht="126" x14ac:dyDescent="0.15">
      <c r="A291">
        <f t="shared" si="1"/>
        <v>0</v>
      </c>
      <c r="B291" s="1" t="s">
        <v>921</v>
      </c>
      <c r="C291" s="7" t="s">
        <v>1183</v>
      </c>
      <c r="D291" s="7" t="s">
        <v>1184</v>
      </c>
      <c r="E291" s="7" t="s">
        <v>1185</v>
      </c>
      <c r="F291" s="9" t="s">
        <v>235</v>
      </c>
      <c r="G291" s="1" t="s">
        <v>929</v>
      </c>
      <c r="H291" s="10"/>
      <c r="I291" s="10">
        <v>4</v>
      </c>
      <c r="J291" s="10"/>
      <c r="K291" s="10">
        <v>4</v>
      </c>
      <c r="L291" s="10"/>
      <c r="M291" s="10">
        <v>4</v>
      </c>
      <c r="N291" s="10"/>
      <c r="O291" s="7">
        <v>5</v>
      </c>
      <c r="P291" s="7"/>
      <c r="Q291" s="7"/>
      <c r="AB291" s="7"/>
    </row>
    <row r="292" spans="1:30" ht="42" x14ac:dyDescent="0.15">
      <c r="A292">
        <f t="shared" si="1"/>
        <v>0</v>
      </c>
      <c r="B292" s="1" t="s">
        <v>921</v>
      </c>
      <c r="C292" s="7" t="s">
        <v>1186</v>
      </c>
      <c r="D292" s="7" t="s">
        <v>1187</v>
      </c>
      <c r="E292" s="7" t="s">
        <v>1188</v>
      </c>
      <c r="F292" s="9" t="s">
        <v>235</v>
      </c>
      <c r="G292" s="1" t="s">
        <v>1189</v>
      </c>
      <c r="H292" s="10">
        <v>4</v>
      </c>
      <c r="I292" s="10">
        <v>4</v>
      </c>
      <c r="J292" s="10">
        <v>4</v>
      </c>
      <c r="K292" s="10">
        <v>4</v>
      </c>
      <c r="L292" s="10">
        <v>4</v>
      </c>
      <c r="M292" s="10">
        <v>4</v>
      </c>
      <c r="N292" s="10"/>
      <c r="O292" s="7">
        <v>5</v>
      </c>
      <c r="P292" s="7"/>
      <c r="Q292" s="7"/>
      <c r="AB292" s="7"/>
    </row>
    <row r="293" spans="1:30" ht="42" x14ac:dyDescent="0.15">
      <c r="A293">
        <f t="shared" si="1"/>
        <v>0</v>
      </c>
      <c r="B293" s="1" t="s">
        <v>921</v>
      </c>
      <c r="C293" s="7" t="s">
        <v>1190</v>
      </c>
      <c r="D293" s="7" t="s">
        <v>1191</v>
      </c>
      <c r="E293" s="7" t="s">
        <v>1191</v>
      </c>
      <c r="F293" s="9" t="s">
        <v>235</v>
      </c>
      <c r="G293" s="1" t="s">
        <v>736</v>
      </c>
      <c r="H293" s="10"/>
      <c r="I293" s="10"/>
      <c r="J293" s="10"/>
      <c r="K293" s="10">
        <v>2</v>
      </c>
      <c r="L293" s="10">
        <v>2</v>
      </c>
      <c r="M293" s="10">
        <v>2</v>
      </c>
      <c r="N293" s="10"/>
      <c r="O293" s="7">
        <v>5</v>
      </c>
      <c r="P293" s="7"/>
      <c r="Q293" s="7"/>
      <c r="AB293" s="7"/>
    </row>
    <row r="294" spans="1:30" ht="42" x14ac:dyDescent="0.15">
      <c r="A294">
        <f t="shared" si="1"/>
        <v>0</v>
      </c>
      <c r="B294" s="1" t="s">
        <v>921</v>
      </c>
      <c r="C294" s="7" t="s">
        <v>1192</v>
      </c>
      <c r="D294" s="7" t="s">
        <v>1193</v>
      </c>
      <c r="E294" s="7" t="s">
        <v>1194</v>
      </c>
      <c r="F294" s="9" t="s">
        <v>1129</v>
      </c>
      <c r="G294" s="1" t="s">
        <v>1195</v>
      </c>
      <c r="H294" s="10">
        <v>8</v>
      </c>
      <c r="I294" s="10">
        <v>8</v>
      </c>
      <c r="J294" s="10">
        <v>8</v>
      </c>
      <c r="K294" s="10">
        <v>8</v>
      </c>
      <c r="L294" s="10">
        <v>8</v>
      </c>
      <c r="M294" s="10">
        <v>8</v>
      </c>
      <c r="N294" s="10"/>
      <c r="O294" s="7">
        <v>20</v>
      </c>
      <c r="P294" s="7">
        <v>60</v>
      </c>
      <c r="Q294" s="7">
        <v>120</v>
      </c>
      <c r="AB294" s="7"/>
    </row>
    <row r="295" spans="1:30" ht="332" x14ac:dyDescent="0.15">
      <c r="A295">
        <f t="shared" si="1"/>
        <v>0</v>
      </c>
      <c r="B295" s="1" t="s">
        <v>921</v>
      </c>
      <c r="C295" s="7" t="s">
        <v>1196</v>
      </c>
      <c r="D295" s="7" t="s">
        <v>1197</v>
      </c>
      <c r="E295" s="7" t="s">
        <v>1198</v>
      </c>
      <c r="F295" s="9" t="s">
        <v>39</v>
      </c>
      <c r="G295" s="1" t="s">
        <v>1199</v>
      </c>
      <c r="H295" s="10"/>
      <c r="I295" s="10">
        <v>6</v>
      </c>
      <c r="J295" s="10"/>
      <c r="K295" s="10">
        <v>6</v>
      </c>
      <c r="L295" s="10"/>
      <c r="M295" s="10">
        <v>12</v>
      </c>
      <c r="N295" s="10"/>
      <c r="O295" s="7">
        <v>15</v>
      </c>
      <c r="P295" s="7"/>
      <c r="Q295" s="7"/>
      <c r="AB295" s="7"/>
    </row>
    <row r="296" spans="1:30" ht="42" x14ac:dyDescent="0.15">
      <c r="A296">
        <f t="shared" si="1"/>
        <v>0</v>
      </c>
      <c r="B296" s="1" t="s">
        <v>921</v>
      </c>
      <c r="C296" s="7" t="s">
        <v>1200</v>
      </c>
      <c r="D296" s="7" t="s">
        <v>1201</v>
      </c>
      <c r="E296" s="7" t="s">
        <v>1202</v>
      </c>
      <c r="F296" s="9" t="s">
        <v>107</v>
      </c>
      <c r="G296" s="1" t="s">
        <v>1054</v>
      </c>
      <c r="H296" s="10">
        <v>14</v>
      </c>
      <c r="I296" s="10">
        <v>14</v>
      </c>
      <c r="J296" s="10">
        <v>14</v>
      </c>
      <c r="K296" s="10">
        <v>14</v>
      </c>
      <c r="L296" s="10">
        <v>14</v>
      </c>
      <c r="M296" s="10">
        <v>14</v>
      </c>
      <c r="N296" s="10"/>
      <c r="O296" s="7">
        <v>20</v>
      </c>
      <c r="P296" s="7"/>
      <c r="Q296" s="7"/>
      <c r="AB296" s="7"/>
    </row>
    <row r="297" spans="1:30" ht="112" x14ac:dyDescent="0.15">
      <c r="A297">
        <f t="shared" si="1"/>
        <v>0</v>
      </c>
      <c r="B297" s="1" t="s">
        <v>921</v>
      </c>
      <c r="C297" s="7" t="s">
        <v>1203</v>
      </c>
      <c r="D297" s="7" t="s">
        <v>1204</v>
      </c>
      <c r="E297" s="7" t="s">
        <v>1205</v>
      </c>
      <c r="F297" s="9" t="s">
        <v>39</v>
      </c>
      <c r="G297" s="1" t="s">
        <v>1206</v>
      </c>
      <c r="H297" s="10">
        <v>0</v>
      </c>
      <c r="I297" s="10">
        <v>10</v>
      </c>
      <c r="J297" s="10">
        <v>0</v>
      </c>
      <c r="K297" s="10">
        <v>0</v>
      </c>
      <c r="L297" s="10">
        <v>0</v>
      </c>
      <c r="M297" s="10">
        <v>10</v>
      </c>
      <c r="N297" s="10"/>
      <c r="O297" s="7">
        <v>15</v>
      </c>
      <c r="P297" s="7"/>
      <c r="Q297" s="7"/>
      <c r="AB297" s="7"/>
    </row>
    <row r="298" spans="1:30" ht="84" x14ac:dyDescent="0.15">
      <c r="A298">
        <f t="shared" si="1"/>
        <v>0</v>
      </c>
      <c r="B298" s="1" t="s">
        <v>921</v>
      </c>
      <c r="C298" s="7" t="s">
        <v>1207</v>
      </c>
      <c r="D298" s="7" t="s">
        <v>1208</v>
      </c>
      <c r="E298" s="7" t="s">
        <v>1209</v>
      </c>
      <c r="F298" s="9" t="s">
        <v>558</v>
      </c>
      <c r="G298" s="1" t="s">
        <v>1210</v>
      </c>
      <c r="H298" s="10"/>
      <c r="I298" s="10">
        <v>4</v>
      </c>
      <c r="J298" s="10"/>
      <c r="K298" s="10"/>
      <c r="L298" s="10">
        <v>4</v>
      </c>
      <c r="M298" s="10">
        <v>4</v>
      </c>
      <c r="N298" s="10"/>
      <c r="O298" s="7">
        <v>10</v>
      </c>
      <c r="P298" s="7">
        <v>20</v>
      </c>
      <c r="Q298" s="7">
        <v>30</v>
      </c>
      <c r="R298" s="1">
        <v>40</v>
      </c>
      <c r="S298" s="1">
        <v>50</v>
      </c>
      <c r="Y298" s="1">
        <v>8</v>
      </c>
      <c r="AB298" s="7"/>
    </row>
    <row r="299" spans="1:30" ht="126" x14ac:dyDescent="0.15">
      <c r="A299">
        <f t="shared" si="1"/>
        <v>0</v>
      </c>
      <c r="B299" s="1" t="s">
        <v>921</v>
      </c>
      <c r="C299" s="7" t="s">
        <v>1211</v>
      </c>
      <c r="D299" s="7" t="s">
        <v>1212</v>
      </c>
      <c r="E299" s="7" t="s">
        <v>1212</v>
      </c>
      <c r="F299" s="9" t="s">
        <v>1213</v>
      </c>
      <c r="G299" s="1" t="s">
        <v>1214</v>
      </c>
      <c r="H299" s="10"/>
      <c r="I299" s="10">
        <v>2</v>
      </c>
      <c r="J299" s="10"/>
      <c r="K299" s="10"/>
      <c r="L299" s="10"/>
      <c r="M299" s="10">
        <v>2</v>
      </c>
      <c r="N299" s="10"/>
      <c r="O299" s="7">
        <v>5</v>
      </c>
      <c r="P299" s="7">
        <v>10</v>
      </c>
      <c r="Q299" s="7">
        <v>20</v>
      </c>
      <c r="AB299" s="7"/>
    </row>
    <row r="300" spans="1:30" ht="28" x14ac:dyDescent="0.15">
      <c r="A300">
        <f t="shared" si="1"/>
        <v>0</v>
      </c>
      <c r="B300" s="1" t="s">
        <v>921</v>
      </c>
      <c r="C300" s="7" t="s">
        <v>1215</v>
      </c>
      <c r="D300" s="7" t="s">
        <v>1216</v>
      </c>
      <c r="E300" s="7" t="s">
        <v>1216</v>
      </c>
      <c r="F300" s="9" t="s">
        <v>235</v>
      </c>
      <c r="G300" s="1" t="s">
        <v>1217</v>
      </c>
      <c r="H300" s="10">
        <v>6</v>
      </c>
      <c r="I300" s="10"/>
      <c r="J300" s="10">
        <v>6</v>
      </c>
      <c r="K300" s="10"/>
      <c r="L300" s="10">
        <v>6</v>
      </c>
      <c r="M300" s="10">
        <v>6</v>
      </c>
      <c r="N300" s="10"/>
      <c r="O300" s="7">
        <v>5</v>
      </c>
      <c r="P300" s="7"/>
      <c r="Q300" s="7"/>
      <c r="AB300" s="7"/>
    </row>
    <row r="301" spans="1:30" ht="70" x14ac:dyDescent="0.15">
      <c r="A301">
        <f t="shared" si="1"/>
        <v>0</v>
      </c>
      <c r="B301" s="1" t="s">
        <v>921</v>
      </c>
      <c r="C301" s="7" t="s">
        <v>1218</v>
      </c>
      <c r="D301" s="7" t="s">
        <v>1219</v>
      </c>
      <c r="E301" s="7" t="s">
        <v>1220</v>
      </c>
      <c r="F301" s="9" t="s">
        <v>39</v>
      </c>
      <c r="G301" s="1" t="s">
        <v>1221</v>
      </c>
      <c r="H301" s="10"/>
      <c r="I301" s="10"/>
      <c r="J301" s="10"/>
      <c r="K301" s="10">
        <v>8</v>
      </c>
      <c r="L301" s="10"/>
      <c r="M301" s="10">
        <v>8</v>
      </c>
      <c r="N301" s="10"/>
      <c r="O301" s="7">
        <v>15</v>
      </c>
      <c r="P301" s="7"/>
      <c r="Q301" s="7"/>
      <c r="AB301" s="7"/>
      <c r="AC301" s="7"/>
      <c r="AD301" s="7"/>
    </row>
    <row r="302" spans="1:30" ht="84" x14ac:dyDescent="0.15">
      <c r="A302">
        <f t="shared" si="1"/>
        <v>0</v>
      </c>
      <c r="B302" s="1" t="s">
        <v>921</v>
      </c>
      <c r="C302" s="7" t="s">
        <v>1222</v>
      </c>
      <c r="D302" s="7" t="s">
        <v>1223</v>
      </c>
      <c r="E302" s="7" t="s">
        <v>1224</v>
      </c>
      <c r="F302" s="9" t="s">
        <v>107</v>
      </c>
      <c r="G302" s="1" t="s">
        <v>1225</v>
      </c>
      <c r="H302" s="10"/>
      <c r="I302" s="10"/>
      <c r="J302" s="10">
        <v>4</v>
      </c>
      <c r="K302" s="10"/>
      <c r="L302" s="10">
        <v>4</v>
      </c>
      <c r="M302" s="10">
        <v>4</v>
      </c>
      <c r="N302" s="10"/>
      <c r="O302" s="7">
        <v>20</v>
      </c>
      <c r="P302" s="7"/>
      <c r="Q302" s="7"/>
      <c r="AB302" s="7"/>
    </row>
    <row r="303" spans="1:30" ht="28" x14ac:dyDescent="0.15">
      <c r="A303">
        <f t="shared" si="1"/>
        <v>0</v>
      </c>
      <c r="B303" s="1" t="s">
        <v>921</v>
      </c>
      <c r="C303" s="7" t="s">
        <v>1226</v>
      </c>
      <c r="D303" s="7" t="s">
        <v>1227</v>
      </c>
      <c r="E303" s="7" t="s">
        <v>1228</v>
      </c>
      <c r="F303" s="9" t="s">
        <v>1163</v>
      </c>
      <c r="G303" s="1" t="s">
        <v>1229</v>
      </c>
      <c r="H303" s="10"/>
      <c r="I303" s="10">
        <v>4</v>
      </c>
      <c r="J303" s="10">
        <v>4</v>
      </c>
      <c r="K303" s="10">
        <v>4</v>
      </c>
      <c r="L303" s="10"/>
      <c r="M303" s="10">
        <v>6</v>
      </c>
      <c r="N303" s="10"/>
      <c r="O303" s="7">
        <v>3</v>
      </c>
      <c r="P303" s="7"/>
      <c r="Q303" s="7"/>
      <c r="AB303" s="7"/>
    </row>
    <row r="304" spans="1:30" ht="28" x14ac:dyDescent="0.15">
      <c r="A304">
        <f t="shared" si="1"/>
        <v>0</v>
      </c>
      <c r="B304" s="1" t="s">
        <v>921</v>
      </c>
      <c r="C304" s="7" t="s">
        <v>1230</v>
      </c>
      <c r="D304" s="7" t="s">
        <v>1231</v>
      </c>
      <c r="E304" s="7" t="s">
        <v>1232</v>
      </c>
      <c r="F304" s="9" t="s">
        <v>235</v>
      </c>
      <c r="G304" s="1" t="s">
        <v>958</v>
      </c>
      <c r="H304" s="10"/>
      <c r="I304" s="10"/>
      <c r="J304" s="10">
        <v>4</v>
      </c>
      <c r="K304" s="10"/>
      <c r="L304" s="10"/>
      <c r="M304" s="10">
        <v>4</v>
      </c>
      <c r="N304" s="10"/>
      <c r="O304" s="7">
        <v>5</v>
      </c>
      <c r="P304" s="7"/>
      <c r="Q304" s="7"/>
      <c r="AB304" s="7"/>
    </row>
    <row r="305" spans="1:28" ht="70" x14ac:dyDescent="0.15">
      <c r="A305">
        <f t="shared" si="1"/>
        <v>0</v>
      </c>
      <c r="B305" s="1" t="s">
        <v>921</v>
      </c>
      <c r="C305" s="7" t="s">
        <v>1233</v>
      </c>
      <c r="D305" s="7" t="s">
        <v>1234</v>
      </c>
      <c r="E305" s="7" t="s">
        <v>1235</v>
      </c>
      <c r="F305" s="9" t="s">
        <v>107</v>
      </c>
      <c r="G305" s="1" t="s">
        <v>1236</v>
      </c>
      <c r="H305" s="10"/>
      <c r="I305" s="10">
        <v>10</v>
      </c>
      <c r="J305" s="10"/>
      <c r="K305" s="10">
        <v>10</v>
      </c>
      <c r="L305" s="10"/>
      <c r="M305" s="10">
        <v>10</v>
      </c>
      <c r="N305" s="10"/>
      <c r="O305" s="7">
        <v>20</v>
      </c>
      <c r="P305" s="7"/>
      <c r="Q305" s="7"/>
      <c r="AB305" s="7"/>
    </row>
    <row r="306" spans="1:28" ht="28" x14ac:dyDescent="0.15">
      <c r="A306">
        <f t="shared" si="1"/>
        <v>0</v>
      </c>
      <c r="B306" s="1" t="s">
        <v>921</v>
      </c>
      <c r="C306" s="7" t="s">
        <v>1237</v>
      </c>
      <c r="D306" s="7" t="s">
        <v>1238</v>
      </c>
      <c r="E306" s="7" t="s">
        <v>1239</v>
      </c>
      <c r="F306" s="9" t="s">
        <v>235</v>
      </c>
      <c r="G306" s="1" t="s">
        <v>1240</v>
      </c>
      <c r="H306" s="10"/>
      <c r="I306" s="10"/>
      <c r="J306" s="10"/>
      <c r="K306" s="10"/>
      <c r="L306" s="10">
        <v>4</v>
      </c>
      <c r="M306" s="10">
        <v>4</v>
      </c>
      <c r="N306" s="10"/>
      <c r="O306" s="7">
        <v>5</v>
      </c>
      <c r="P306" s="7"/>
      <c r="Q306" s="7"/>
      <c r="AB306" s="7"/>
    </row>
    <row r="307" spans="1:28" ht="56" x14ac:dyDescent="0.15">
      <c r="A307">
        <f t="shared" si="1"/>
        <v>0</v>
      </c>
      <c r="B307" s="1" t="s">
        <v>921</v>
      </c>
      <c r="C307" s="7" t="s">
        <v>1241</v>
      </c>
      <c r="D307" s="7" t="s">
        <v>1242</v>
      </c>
      <c r="E307" s="7" t="s">
        <v>1243</v>
      </c>
      <c r="F307" s="9" t="s">
        <v>27</v>
      </c>
      <c r="G307" s="1" t="s">
        <v>1244</v>
      </c>
      <c r="H307" s="10">
        <v>10</v>
      </c>
      <c r="I307" s="10">
        <v>10</v>
      </c>
      <c r="J307" s="10"/>
      <c r="K307" s="10"/>
      <c r="L307" s="10"/>
      <c r="M307" s="10">
        <v>10</v>
      </c>
      <c r="N307" s="10"/>
      <c r="O307" s="7">
        <v>10</v>
      </c>
      <c r="P307" s="7"/>
      <c r="Q307" s="7"/>
      <c r="AB307" s="7"/>
    </row>
    <row r="308" spans="1:28" ht="28" x14ac:dyDescent="0.15">
      <c r="A308">
        <f t="shared" si="1"/>
        <v>0</v>
      </c>
      <c r="B308" s="1" t="s">
        <v>921</v>
      </c>
      <c r="C308" s="7" t="s">
        <v>1245</v>
      </c>
      <c r="D308" s="7" t="s">
        <v>1246</v>
      </c>
      <c r="E308" s="7" t="s">
        <v>1247</v>
      </c>
      <c r="F308" s="9" t="s">
        <v>235</v>
      </c>
      <c r="G308" s="1" t="s">
        <v>1248</v>
      </c>
      <c r="H308" s="10">
        <v>6</v>
      </c>
      <c r="I308" s="10"/>
      <c r="J308" s="10"/>
      <c r="K308" s="10"/>
      <c r="L308" s="10"/>
      <c r="M308" s="10">
        <v>6</v>
      </c>
      <c r="N308" s="10"/>
      <c r="O308" s="7">
        <v>5</v>
      </c>
      <c r="P308" s="7"/>
      <c r="Q308" s="7"/>
      <c r="AB308" s="7"/>
    </row>
    <row r="309" spans="1:28" ht="56" x14ac:dyDescent="0.15">
      <c r="A309">
        <f t="shared" si="1"/>
        <v>0</v>
      </c>
      <c r="B309" s="1" t="s">
        <v>921</v>
      </c>
      <c r="C309" s="7" t="s">
        <v>1249</v>
      </c>
      <c r="D309" s="7" t="s">
        <v>1250</v>
      </c>
      <c r="E309" s="7" t="s">
        <v>1251</v>
      </c>
      <c r="F309" s="9" t="s">
        <v>986</v>
      </c>
      <c r="G309" s="1" t="s">
        <v>1252</v>
      </c>
      <c r="H309" s="10"/>
      <c r="I309" s="10"/>
      <c r="J309" s="10"/>
      <c r="K309" s="10"/>
      <c r="L309" s="10"/>
      <c r="M309" s="10"/>
      <c r="N309" s="10"/>
      <c r="O309" s="7">
        <v>20</v>
      </c>
      <c r="P309" s="7">
        <v>40</v>
      </c>
      <c r="Q309" s="7">
        <v>60</v>
      </c>
      <c r="AB309" s="7"/>
    </row>
    <row r="310" spans="1:28" ht="42" x14ac:dyDescent="0.15">
      <c r="A310">
        <f t="shared" si="1"/>
        <v>0</v>
      </c>
      <c r="B310" s="1" t="s">
        <v>921</v>
      </c>
      <c r="C310" s="7" t="s">
        <v>1253</v>
      </c>
      <c r="D310" s="7" t="s">
        <v>1254</v>
      </c>
      <c r="E310" s="7" t="s">
        <v>1255</v>
      </c>
      <c r="F310" s="9" t="s">
        <v>235</v>
      </c>
      <c r="G310" s="1" t="s">
        <v>1256</v>
      </c>
      <c r="H310" s="10"/>
      <c r="I310" s="10"/>
      <c r="J310" s="10">
        <v>6</v>
      </c>
      <c r="K310" s="10"/>
      <c r="L310" s="10"/>
      <c r="M310" s="10">
        <v>6</v>
      </c>
      <c r="N310" s="10"/>
      <c r="O310" s="7">
        <v>5</v>
      </c>
      <c r="P310" s="7"/>
      <c r="Q310" s="7"/>
      <c r="AB310" s="7"/>
    </row>
    <row r="311" spans="1:28" ht="56" x14ac:dyDescent="0.15">
      <c r="A311">
        <f t="shared" si="1"/>
        <v>0</v>
      </c>
      <c r="B311" s="1" t="s">
        <v>921</v>
      </c>
      <c r="C311" s="7" t="s">
        <v>1257</v>
      </c>
      <c r="D311" s="7" t="s">
        <v>1258</v>
      </c>
      <c r="E311" s="7" t="s">
        <v>1259</v>
      </c>
      <c r="F311" s="9" t="s">
        <v>953</v>
      </c>
      <c r="G311" s="1" t="s">
        <v>1260</v>
      </c>
      <c r="H311" s="10">
        <v>4</v>
      </c>
      <c r="I311" s="10"/>
      <c r="J311" s="10">
        <v>4</v>
      </c>
      <c r="K311" s="10"/>
      <c r="L311" s="10">
        <v>4</v>
      </c>
      <c r="M311" s="10">
        <v>4</v>
      </c>
      <c r="N311" s="10"/>
      <c r="O311" s="7">
        <v>5</v>
      </c>
      <c r="P311" s="7">
        <v>15</v>
      </c>
      <c r="Q311" s="7">
        <v>30</v>
      </c>
      <c r="R311" s="1">
        <v>50</v>
      </c>
      <c r="S311" s="1">
        <v>75</v>
      </c>
      <c r="AB311" s="7"/>
    </row>
    <row r="312" spans="1:28" ht="28" x14ac:dyDescent="0.15">
      <c r="A312">
        <f t="shared" si="1"/>
        <v>0</v>
      </c>
      <c r="B312" s="1" t="s">
        <v>921</v>
      </c>
      <c r="C312" s="7" t="s">
        <v>1261</v>
      </c>
      <c r="D312" s="7" t="s">
        <v>1262</v>
      </c>
      <c r="E312" s="7" t="s">
        <v>1262</v>
      </c>
      <c r="F312" s="9" t="s">
        <v>107</v>
      </c>
      <c r="G312" s="1" t="s">
        <v>866</v>
      </c>
      <c r="H312" s="10"/>
      <c r="I312" s="10">
        <v>8</v>
      </c>
      <c r="J312" s="10"/>
      <c r="K312" s="10"/>
      <c r="L312" s="10">
        <v>8</v>
      </c>
      <c r="M312" s="10">
        <v>8</v>
      </c>
      <c r="N312" s="10"/>
      <c r="O312" s="7">
        <v>20</v>
      </c>
      <c r="P312" s="7"/>
      <c r="Q312" s="7"/>
      <c r="AB312" s="7"/>
    </row>
    <row r="313" spans="1:28" ht="28" x14ac:dyDescent="0.15">
      <c r="A313">
        <f t="shared" si="1"/>
        <v>0</v>
      </c>
      <c r="B313" s="1" t="s">
        <v>921</v>
      </c>
      <c r="C313" s="7" t="s">
        <v>1263</v>
      </c>
      <c r="D313" s="7" t="s">
        <v>1264</v>
      </c>
      <c r="E313" s="7" t="s">
        <v>1265</v>
      </c>
      <c r="F313" s="9" t="s">
        <v>235</v>
      </c>
      <c r="G313" s="1" t="s">
        <v>1266</v>
      </c>
      <c r="H313" s="10">
        <v>3</v>
      </c>
      <c r="I313" s="10">
        <v>3</v>
      </c>
      <c r="J313" s="10"/>
      <c r="K313" s="10"/>
      <c r="L313" s="10"/>
      <c r="M313" s="10">
        <v>6</v>
      </c>
      <c r="N313" s="10"/>
      <c r="O313" s="7">
        <v>5</v>
      </c>
      <c r="P313" s="7"/>
      <c r="Q313" s="7"/>
      <c r="AB313" s="7"/>
    </row>
    <row r="314" spans="1:28" ht="56" x14ac:dyDescent="0.15">
      <c r="A314">
        <f t="shared" si="1"/>
        <v>0</v>
      </c>
      <c r="B314" s="1" t="s">
        <v>921</v>
      </c>
      <c r="C314" s="7" t="s">
        <v>1267</v>
      </c>
      <c r="D314" s="7" t="s">
        <v>1268</v>
      </c>
      <c r="E314" s="7" t="s">
        <v>1269</v>
      </c>
      <c r="F314" s="9" t="s">
        <v>235</v>
      </c>
      <c r="G314" s="1" t="s">
        <v>1270</v>
      </c>
      <c r="H314" s="10"/>
      <c r="I314" s="10">
        <v>8</v>
      </c>
      <c r="J314" s="10"/>
      <c r="K314" s="10"/>
      <c r="L314" s="10"/>
      <c r="M314" s="10">
        <v>8</v>
      </c>
      <c r="N314" s="10"/>
      <c r="O314" s="7">
        <v>5</v>
      </c>
      <c r="P314" s="7"/>
      <c r="Q314" s="7"/>
      <c r="AB314" s="7"/>
    </row>
    <row r="315" spans="1:28" ht="42" x14ac:dyDescent="0.15">
      <c r="A315">
        <f t="shared" si="1"/>
        <v>0</v>
      </c>
      <c r="B315" s="1" t="s">
        <v>921</v>
      </c>
      <c r="C315" s="1" t="s">
        <v>1271</v>
      </c>
      <c r="D315" s="7" t="s">
        <v>1272</v>
      </c>
      <c r="E315" s="7" t="s">
        <v>1273</v>
      </c>
      <c r="F315" s="9" t="s">
        <v>107</v>
      </c>
      <c r="G315" s="1" t="s">
        <v>605</v>
      </c>
      <c r="H315" s="10"/>
      <c r="I315" s="10"/>
      <c r="J315" s="10"/>
      <c r="K315" s="10"/>
      <c r="L315" s="10"/>
      <c r="M315" s="10"/>
      <c r="N315" s="10"/>
      <c r="O315" s="7">
        <v>20</v>
      </c>
      <c r="P315" s="7"/>
      <c r="Q315" s="7"/>
      <c r="AB315" s="7"/>
    </row>
    <row r="316" spans="1:28" ht="84" x14ac:dyDescent="0.15">
      <c r="A316">
        <f t="shared" si="1"/>
        <v>0</v>
      </c>
      <c r="B316" s="1" t="s">
        <v>921</v>
      </c>
      <c r="C316" s="7" t="s">
        <v>1274</v>
      </c>
      <c r="D316" s="7" t="s">
        <v>1275</v>
      </c>
      <c r="E316" s="7" t="s">
        <v>1276</v>
      </c>
      <c r="F316" s="9" t="s">
        <v>1163</v>
      </c>
      <c r="G316" s="1" t="s">
        <v>1277</v>
      </c>
      <c r="H316" s="10"/>
      <c r="I316" s="10">
        <v>4</v>
      </c>
      <c r="J316" s="10"/>
      <c r="K316" s="10"/>
      <c r="L316" s="10"/>
      <c r="M316" s="10">
        <v>4</v>
      </c>
      <c r="N316" s="10"/>
      <c r="O316" s="7">
        <v>3</v>
      </c>
      <c r="P316" s="7"/>
      <c r="Q316" s="7"/>
      <c r="AB316" s="7"/>
    </row>
    <row r="317" spans="1:28" ht="112" x14ac:dyDescent="0.15">
      <c r="A317">
        <f t="shared" si="1"/>
        <v>0</v>
      </c>
      <c r="B317" s="1" t="s">
        <v>921</v>
      </c>
      <c r="C317" s="7" t="s">
        <v>1278</v>
      </c>
      <c r="D317" s="7" t="s">
        <v>1279</v>
      </c>
      <c r="E317" s="7" t="s">
        <v>1280</v>
      </c>
      <c r="F317" s="9" t="s">
        <v>27</v>
      </c>
      <c r="G317" s="1" t="s">
        <v>1281</v>
      </c>
      <c r="H317" s="10">
        <v>6</v>
      </c>
      <c r="I317" s="10">
        <v>6</v>
      </c>
      <c r="J317" s="10"/>
      <c r="K317" s="10"/>
      <c r="L317" s="10"/>
      <c r="M317" s="10">
        <v>6</v>
      </c>
      <c r="N317" s="10"/>
      <c r="O317" s="7">
        <v>10</v>
      </c>
      <c r="P317" s="7"/>
      <c r="Q317" s="7"/>
      <c r="AB317" s="7"/>
    </row>
    <row r="318" spans="1:28" ht="56" x14ac:dyDescent="0.15">
      <c r="A318">
        <f t="shared" si="1"/>
        <v>0</v>
      </c>
      <c r="B318" s="1" t="s">
        <v>921</v>
      </c>
      <c r="C318" s="7" t="s">
        <v>1282</v>
      </c>
      <c r="D318" s="7" t="s">
        <v>1283</v>
      </c>
      <c r="E318" s="7" t="s">
        <v>1284</v>
      </c>
      <c r="F318" s="9" t="s">
        <v>360</v>
      </c>
      <c r="G318" s="1" t="s">
        <v>1285</v>
      </c>
      <c r="H318" s="10"/>
      <c r="I318" s="10"/>
      <c r="J318" s="10"/>
      <c r="K318" s="10"/>
      <c r="L318" s="10"/>
      <c r="M318" s="10"/>
      <c r="N318" s="10"/>
      <c r="O318" s="7">
        <v>25</v>
      </c>
      <c r="P318" s="7"/>
      <c r="Q318" s="7"/>
      <c r="AB318" s="7"/>
    </row>
    <row r="319" spans="1:28" ht="84" x14ac:dyDescent="0.15">
      <c r="A319">
        <f t="shared" si="1"/>
        <v>0</v>
      </c>
      <c r="B319" s="1" t="s">
        <v>921</v>
      </c>
      <c r="C319" s="7" t="s">
        <v>1286</v>
      </c>
      <c r="D319" s="7" t="s">
        <v>1287</v>
      </c>
      <c r="E319" s="7" t="s">
        <v>1288</v>
      </c>
      <c r="F319" s="9" t="s">
        <v>1163</v>
      </c>
      <c r="G319" s="1" t="s">
        <v>1168</v>
      </c>
      <c r="H319" s="10"/>
      <c r="I319" s="10"/>
      <c r="J319" s="10"/>
      <c r="K319" s="10">
        <v>4</v>
      </c>
      <c r="L319" s="10"/>
      <c r="M319" s="10">
        <v>4</v>
      </c>
      <c r="N319" s="10"/>
      <c r="O319" s="7">
        <v>5</v>
      </c>
      <c r="P319" s="7"/>
      <c r="Q319" s="7"/>
      <c r="AB319" s="7"/>
    </row>
    <row r="320" spans="1:28" ht="28" x14ac:dyDescent="0.15">
      <c r="A320">
        <f t="shared" si="1"/>
        <v>0</v>
      </c>
      <c r="B320" s="1" t="s">
        <v>921</v>
      </c>
      <c r="C320" s="7" t="s">
        <v>1289</v>
      </c>
      <c r="D320" s="7" t="s">
        <v>1290</v>
      </c>
      <c r="E320" s="7" t="s">
        <v>1291</v>
      </c>
      <c r="F320" s="9" t="s">
        <v>1292</v>
      </c>
      <c r="G320" s="1" t="s">
        <v>1293</v>
      </c>
      <c r="H320" s="10">
        <v>4</v>
      </c>
      <c r="I320" s="10"/>
      <c r="J320" s="10"/>
      <c r="K320" s="10"/>
      <c r="L320" s="10">
        <v>4</v>
      </c>
      <c r="M320" s="10">
        <v>4</v>
      </c>
      <c r="N320" s="10"/>
      <c r="O320" s="7">
        <v>10</v>
      </c>
      <c r="P320" s="7">
        <v>30</v>
      </c>
      <c r="Q320" s="7">
        <v>60</v>
      </c>
      <c r="R320" s="1">
        <v>100</v>
      </c>
      <c r="S320" s="1">
        <v>150</v>
      </c>
      <c r="AB320" s="7"/>
    </row>
    <row r="321" spans="1:30" ht="224" x14ac:dyDescent="0.15">
      <c r="A321">
        <f t="shared" si="1"/>
        <v>0</v>
      </c>
      <c r="B321" s="1" t="s">
        <v>921</v>
      </c>
      <c r="C321" s="7" t="s">
        <v>1294</v>
      </c>
      <c r="D321" s="7" t="s">
        <v>1295</v>
      </c>
      <c r="E321" s="7" t="s">
        <v>1296</v>
      </c>
      <c r="F321" s="9" t="s">
        <v>27</v>
      </c>
      <c r="G321" s="1" t="s">
        <v>466</v>
      </c>
      <c r="H321" s="10"/>
      <c r="I321" s="10"/>
      <c r="J321" s="10"/>
      <c r="K321" s="10"/>
      <c r="L321" s="10"/>
      <c r="M321" s="10"/>
      <c r="N321" s="10"/>
      <c r="O321" s="7">
        <v>10</v>
      </c>
      <c r="P321" s="7"/>
      <c r="Q321" s="7"/>
      <c r="AB321" s="7"/>
    </row>
    <row r="322" spans="1:30" ht="42" x14ac:dyDescent="0.15">
      <c r="A322">
        <f t="shared" si="1"/>
        <v>0</v>
      </c>
      <c r="B322" s="1" t="s">
        <v>921</v>
      </c>
      <c r="C322" s="7" t="s">
        <v>1297</v>
      </c>
      <c r="D322" s="7" t="s">
        <v>1298</v>
      </c>
      <c r="E322" s="7" t="s">
        <v>1299</v>
      </c>
      <c r="F322" s="9" t="s">
        <v>235</v>
      </c>
      <c r="G322" s="1" t="s">
        <v>1300</v>
      </c>
      <c r="H322" s="10"/>
      <c r="I322" s="10">
        <v>4</v>
      </c>
      <c r="J322" s="10"/>
      <c r="K322" s="10"/>
      <c r="L322" s="10"/>
      <c r="M322" s="10">
        <v>4</v>
      </c>
      <c r="N322" s="10"/>
      <c r="O322" s="7">
        <v>5</v>
      </c>
      <c r="P322" s="7"/>
      <c r="Q322" s="7"/>
      <c r="AB322" s="7"/>
    </row>
    <row r="323" spans="1:30" ht="42" x14ac:dyDescent="0.15">
      <c r="A323">
        <f t="shared" si="1"/>
        <v>0</v>
      </c>
      <c r="B323" s="1" t="s">
        <v>921</v>
      </c>
      <c r="C323" s="7" t="s">
        <v>1301</v>
      </c>
      <c r="D323" s="7" t="s">
        <v>1302</v>
      </c>
      <c r="E323" s="7" t="s">
        <v>1303</v>
      </c>
      <c r="F323" s="9" t="s">
        <v>112</v>
      </c>
      <c r="G323" s="1" t="s">
        <v>1304</v>
      </c>
      <c r="H323" s="10">
        <v>6</v>
      </c>
      <c r="I323" s="10"/>
      <c r="J323" s="10">
        <v>6</v>
      </c>
      <c r="K323" s="10"/>
      <c r="L323" s="10"/>
      <c r="M323" s="10">
        <v>12</v>
      </c>
      <c r="N323" s="10"/>
      <c r="O323" s="7">
        <v>40</v>
      </c>
      <c r="P323" s="7"/>
      <c r="Q323" s="7"/>
      <c r="AB323" s="7"/>
    </row>
    <row r="324" spans="1:30" ht="56" x14ac:dyDescent="0.15">
      <c r="A324">
        <f t="shared" si="1"/>
        <v>0</v>
      </c>
      <c r="B324" s="1" t="s">
        <v>921</v>
      </c>
      <c r="C324" s="7" t="s">
        <v>1305</v>
      </c>
      <c r="D324" s="7" t="s">
        <v>1306</v>
      </c>
      <c r="E324" s="7" t="s">
        <v>1307</v>
      </c>
      <c r="F324" s="9" t="s">
        <v>39</v>
      </c>
      <c r="G324" s="1" t="s">
        <v>1308</v>
      </c>
      <c r="H324" s="10"/>
      <c r="I324" s="10"/>
      <c r="J324" s="10"/>
      <c r="K324" s="10"/>
      <c r="L324" s="10">
        <v>10</v>
      </c>
      <c r="M324" s="10">
        <v>10</v>
      </c>
      <c r="N324" s="10"/>
      <c r="O324" s="7">
        <v>15</v>
      </c>
      <c r="P324" s="7"/>
      <c r="Q324" s="7"/>
      <c r="AB324" s="7"/>
      <c r="AC324" s="30"/>
      <c r="AD324" s="30"/>
    </row>
    <row r="325" spans="1:30" ht="56" x14ac:dyDescent="0.15">
      <c r="A325">
        <f t="shared" si="1"/>
        <v>0</v>
      </c>
      <c r="B325" s="1" t="s">
        <v>921</v>
      </c>
      <c r="C325" s="7" t="s">
        <v>1309</v>
      </c>
      <c r="D325" s="7" t="s">
        <v>1310</v>
      </c>
      <c r="E325" s="7" t="s">
        <v>1311</v>
      </c>
      <c r="F325" s="9" t="s">
        <v>1312</v>
      </c>
      <c r="G325" s="1" t="s">
        <v>1313</v>
      </c>
      <c r="H325" s="10"/>
      <c r="I325" s="10"/>
      <c r="J325" s="10"/>
      <c r="K325" s="10"/>
      <c r="L325" s="10">
        <v>2</v>
      </c>
      <c r="M325" s="10">
        <v>2</v>
      </c>
      <c r="N325" s="10"/>
      <c r="O325" s="7">
        <v>5</v>
      </c>
      <c r="P325" s="7">
        <v>15</v>
      </c>
      <c r="Q325" s="7">
        <v>30</v>
      </c>
      <c r="R325" s="1">
        <v>50</v>
      </c>
      <c r="S325" s="1">
        <v>75</v>
      </c>
      <c r="T325" s="1">
        <v>105</v>
      </c>
      <c r="U325" s="1">
        <v>140</v>
      </c>
      <c r="V325" s="1">
        <v>180</v>
      </c>
      <c r="W325" s="1">
        <v>225</v>
      </c>
      <c r="X325" s="1">
        <v>275</v>
      </c>
      <c r="AB325" s="7"/>
    </row>
    <row r="326" spans="1:30" ht="84" x14ac:dyDescent="0.15">
      <c r="A326">
        <f t="shared" si="1"/>
        <v>0</v>
      </c>
      <c r="B326" s="1" t="s">
        <v>921</v>
      </c>
      <c r="C326" s="7" t="s">
        <v>1314</v>
      </c>
      <c r="D326" s="25" t="s">
        <v>1315</v>
      </c>
      <c r="E326" s="25" t="s">
        <v>1316</v>
      </c>
      <c r="F326" s="9" t="s">
        <v>1317</v>
      </c>
      <c r="G326" s="1" t="s">
        <v>1318</v>
      </c>
      <c r="H326" s="10">
        <v>4</v>
      </c>
      <c r="I326" s="10">
        <v>4</v>
      </c>
      <c r="J326" s="10">
        <v>4</v>
      </c>
      <c r="K326" s="10">
        <v>4</v>
      </c>
      <c r="L326" s="10">
        <v>4</v>
      </c>
      <c r="M326" s="10">
        <v>4</v>
      </c>
      <c r="N326" s="10"/>
      <c r="O326" s="7">
        <v>3</v>
      </c>
      <c r="P326" s="7">
        <v>9</v>
      </c>
      <c r="Q326" s="7">
        <v>18</v>
      </c>
      <c r="R326" s="1">
        <v>30</v>
      </c>
      <c r="S326" s="1">
        <v>45</v>
      </c>
      <c r="AB326" s="7"/>
    </row>
    <row r="327" spans="1:30" ht="56" x14ac:dyDescent="0.15">
      <c r="A327">
        <f t="shared" si="1"/>
        <v>0</v>
      </c>
      <c r="B327" s="1" t="s">
        <v>921</v>
      </c>
      <c r="C327" s="7" t="s">
        <v>1319</v>
      </c>
      <c r="D327" s="25" t="s">
        <v>1320</v>
      </c>
      <c r="E327" s="25" t="s">
        <v>1321</v>
      </c>
      <c r="F327" s="9" t="s">
        <v>1312</v>
      </c>
      <c r="G327" s="1" t="s">
        <v>1322</v>
      </c>
      <c r="H327" s="10"/>
      <c r="I327" s="10"/>
      <c r="J327" s="10"/>
      <c r="K327" s="10"/>
      <c r="L327" s="10">
        <v>4</v>
      </c>
      <c r="M327" s="10">
        <v>4</v>
      </c>
      <c r="N327" s="10"/>
      <c r="O327" s="7">
        <v>5</v>
      </c>
      <c r="P327" s="7">
        <v>15</v>
      </c>
      <c r="Q327" s="7">
        <v>30</v>
      </c>
      <c r="R327" s="1">
        <v>50</v>
      </c>
      <c r="S327" s="1">
        <v>75</v>
      </c>
      <c r="AB327" s="7"/>
    </row>
    <row r="328" spans="1:30" ht="42" x14ac:dyDescent="0.15">
      <c r="A328">
        <f t="shared" si="1"/>
        <v>0</v>
      </c>
      <c r="B328" s="1" t="s">
        <v>921</v>
      </c>
      <c r="C328" s="7" t="s">
        <v>1323</v>
      </c>
      <c r="D328" s="7" t="s">
        <v>1324</v>
      </c>
      <c r="E328" s="7" t="s">
        <v>1325</v>
      </c>
      <c r="F328" s="9" t="s">
        <v>27</v>
      </c>
      <c r="G328" s="1" t="s">
        <v>1326</v>
      </c>
      <c r="H328" s="10">
        <v>4</v>
      </c>
      <c r="I328" s="10"/>
      <c r="J328" s="10">
        <v>4</v>
      </c>
      <c r="K328" s="10"/>
      <c r="L328" s="10"/>
      <c r="M328" s="10">
        <v>6</v>
      </c>
      <c r="N328" s="10"/>
      <c r="O328" s="7">
        <v>10</v>
      </c>
      <c r="P328" s="7"/>
      <c r="Q328" s="7"/>
      <c r="AB328" s="7"/>
    </row>
    <row r="329" spans="1:30" ht="306" x14ac:dyDescent="0.15">
      <c r="A329">
        <f t="shared" si="1"/>
        <v>0</v>
      </c>
      <c r="B329" s="1" t="s">
        <v>921</v>
      </c>
      <c r="C329" s="7" t="s">
        <v>1327</v>
      </c>
      <c r="D329" s="7" t="s">
        <v>1328</v>
      </c>
      <c r="E329" s="7" t="s">
        <v>1329</v>
      </c>
      <c r="F329" s="9" t="s">
        <v>300</v>
      </c>
      <c r="G329" s="1" t="s">
        <v>1330</v>
      </c>
      <c r="H329" s="10">
        <v>1</v>
      </c>
      <c r="I329" s="10">
        <v>1</v>
      </c>
      <c r="J329" s="10"/>
      <c r="K329" s="10"/>
      <c r="L329" s="10"/>
      <c r="M329" s="10">
        <v>1</v>
      </c>
      <c r="N329" s="10"/>
      <c r="O329" s="7">
        <v>0</v>
      </c>
      <c r="P329" s="7"/>
      <c r="Q329" s="7"/>
      <c r="AB329" s="7"/>
    </row>
    <row r="330" spans="1:30" ht="84" x14ac:dyDescent="0.15">
      <c r="A330">
        <f t="shared" si="1"/>
        <v>0</v>
      </c>
      <c r="B330" s="1" t="s">
        <v>921</v>
      </c>
      <c r="C330" s="7" t="s">
        <v>1331</v>
      </c>
      <c r="D330" s="7" t="s">
        <v>1332</v>
      </c>
      <c r="E330" s="7" t="s">
        <v>1333</v>
      </c>
      <c r="F330" s="9" t="s">
        <v>235</v>
      </c>
      <c r="G330" s="1" t="s">
        <v>1334</v>
      </c>
      <c r="H330" s="10"/>
      <c r="I330" s="10"/>
      <c r="J330" s="10"/>
      <c r="K330" s="10"/>
      <c r="L330" s="10">
        <v>4</v>
      </c>
      <c r="M330" s="10">
        <v>4</v>
      </c>
      <c r="N330" s="10"/>
      <c r="O330" s="7">
        <v>5</v>
      </c>
      <c r="P330" s="7"/>
      <c r="Q330" s="7"/>
      <c r="AB330" s="7"/>
    </row>
    <row r="331" spans="1:30" ht="42" x14ac:dyDescent="0.15">
      <c r="A331">
        <f t="shared" si="1"/>
        <v>0</v>
      </c>
      <c r="B331" s="1" t="s">
        <v>921</v>
      </c>
      <c r="C331" s="7" t="s">
        <v>1335</v>
      </c>
      <c r="D331" s="7" t="s">
        <v>1336</v>
      </c>
      <c r="E331" s="7" t="s">
        <v>1337</v>
      </c>
      <c r="F331" s="9" t="s">
        <v>112</v>
      </c>
      <c r="G331" s="1" t="s">
        <v>356</v>
      </c>
      <c r="H331" s="10"/>
      <c r="I331" s="10"/>
      <c r="J331" s="10">
        <v>12</v>
      </c>
      <c r="K331" s="10"/>
      <c r="L331" s="10"/>
      <c r="M331" s="10">
        <v>12</v>
      </c>
      <c r="N331" s="10"/>
      <c r="O331" s="7">
        <v>40</v>
      </c>
      <c r="P331" s="7"/>
      <c r="Q331" s="7"/>
      <c r="AB331" s="7"/>
    </row>
    <row r="332" spans="1:30" ht="98" x14ac:dyDescent="0.15">
      <c r="A332">
        <f t="shared" si="1"/>
        <v>0</v>
      </c>
      <c r="B332" s="1" t="s">
        <v>921</v>
      </c>
      <c r="C332" s="7" t="s">
        <v>1338</v>
      </c>
      <c r="D332" s="7" t="s">
        <v>1339</v>
      </c>
      <c r="E332" s="7" t="s">
        <v>1340</v>
      </c>
      <c r="F332" s="9" t="s">
        <v>39</v>
      </c>
      <c r="G332" s="1" t="s">
        <v>1341</v>
      </c>
      <c r="H332" s="10"/>
      <c r="I332" s="10"/>
      <c r="J332" s="10"/>
      <c r="K332" s="10"/>
      <c r="L332" s="10"/>
      <c r="M332" s="10"/>
      <c r="N332" s="10"/>
      <c r="O332" s="7">
        <v>15</v>
      </c>
      <c r="P332" s="7"/>
      <c r="Q332" s="7"/>
      <c r="AB332" s="7"/>
    </row>
    <row r="333" spans="1:30" ht="14" x14ac:dyDescent="0.15">
      <c r="A333">
        <f t="shared" si="1"/>
        <v>0</v>
      </c>
      <c r="B333" s="1" t="s">
        <v>921</v>
      </c>
      <c r="C333" s="7" t="s">
        <v>1342</v>
      </c>
      <c r="D333" s="7" t="s">
        <v>1343</v>
      </c>
      <c r="E333" s="7" t="s">
        <v>1344</v>
      </c>
      <c r="F333" s="9" t="s">
        <v>169</v>
      </c>
      <c r="G333" s="1" t="s">
        <v>1345</v>
      </c>
      <c r="H333" s="10">
        <v>4</v>
      </c>
      <c r="I333" s="10"/>
      <c r="J333" s="10"/>
      <c r="K333" s="10"/>
      <c r="L333" s="10">
        <v>4</v>
      </c>
      <c r="M333" s="10">
        <v>4</v>
      </c>
      <c r="N333" s="10"/>
      <c r="O333" s="7">
        <v>5</v>
      </c>
      <c r="P333" s="7">
        <v>10</v>
      </c>
      <c r="Q333" s="7">
        <v>15</v>
      </c>
      <c r="R333" s="1">
        <v>20</v>
      </c>
      <c r="S333" s="1">
        <v>25</v>
      </c>
      <c r="AB333" s="7"/>
    </row>
    <row r="334" spans="1:30" ht="42" x14ac:dyDescent="0.15">
      <c r="A334">
        <f t="shared" si="1"/>
        <v>0</v>
      </c>
      <c r="B334" s="1" t="s">
        <v>921</v>
      </c>
      <c r="C334" s="7" t="s">
        <v>1346</v>
      </c>
      <c r="D334" s="7" t="s">
        <v>1347</v>
      </c>
      <c r="E334" s="7" t="s">
        <v>1348</v>
      </c>
      <c r="F334" s="9" t="s">
        <v>735</v>
      </c>
      <c r="G334" s="1" t="s">
        <v>1349</v>
      </c>
      <c r="H334" s="10"/>
      <c r="I334" s="10">
        <v>4</v>
      </c>
      <c r="J334" s="10">
        <v>4</v>
      </c>
      <c r="K334" s="10"/>
      <c r="L334" s="10"/>
      <c r="M334" s="10">
        <v>4</v>
      </c>
      <c r="N334" s="10"/>
      <c r="O334" s="7">
        <v>5</v>
      </c>
      <c r="P334" s="7"/>
      <c r="Q334" s="7"/>
      <c r="AB334" s="7"/>
    </row>
    <row r="335" spans="1:30" ht="56" x14ac:dyDescent="0.15">
      <c r="A335">
        <f t="shared" si="1"/>
        <v>0</v>
      </c>
      <c r="B335" s="1" t="s">
        <v>921</v>
      </c>
      <c r="C335" s="7" t="s">
        <v>1350</v>
      </c>
      <c r="D335" s="7" t="s">
        <v>1351</v>
      </c>
      <c r="E335" s="7" t="s">
        <v>1352</v>
      </c>
      <c r="F335" s="9" t="s">
        <v>107</v>
      </c>
      <c r="G335" s="1" t="s">
        <v>1353</v>
      </c>
      <c r="H335" s="10"/>
      <c r="I335" s="10"/>
      <c r="J335" s="10"/>
      <c r="K335" s="10">
        <v>10</v>
      </c>
      <c r="L335" s="10">
        <v>10</v>
      </c>
      <c r="M335" s="10">
        <v>10</v>
      </c>
      <c r="N335" s="10"/>
      <c r="O335" s="7">
        <v>20</v>
      </c>
      <c r="P335" s="7"/>
      <c r="Q335" s="7"/>
      <c r="AB335" s="7"/>
    </row>
    <row r="336" spans="1:30" ht="28" x14ac:dyDescent="0.15">
      <c r="A336">
        <f t="shared" si="1"/>
        <v>0</v>
      </c>
      <c r="B336" s="1" t="s">
        <v>921</v>
      </c>
      <c r="C336" s="7" t="s">
        <v>1354</v>
      </c>
      <c r="D336" s="7" t="s">
        <v>1355</v>
      </c>
      <c r="E336" s="7" t="s">
        <v>1356</v>
      </c>
      <c r="F336" s="9" t="s">
        <v>235</v>
      </c>
      <c r="G336" s="1" t="s">
        <v>1357</v>
      </c>
      <c r="H336" s="10">
        <v>6</v>
      </c>
      <c r="I336" s="10">
        <v>6</v>
      </c>
      <c r="J336" s="10">
        <v>6</v>
      </c>
      <c r="K336" s="10">
        <v>6</v>
      </c>
      <c r="L336" s="10">
        <v>6</v>
      </c>
      <c r="M336" s="10">
        <v>6</v>
      </c>
      <c r="N336" s="10"/>
      <c r="O336" s="7">
        <v>5</v>
      </c>
      <c r="P336" s="7"/>
      <c r="Q336" s="7"/>
      <c r="AB336" s="7"/>
    </row>
    <row r="337" spans="1:28" ht="28" x14ac:dyDescent="0.15">
      <c r="A337">
        <f t="shared" si="1"/>
        <v>0</v>
      </c>
      <c r="B337" s="1" t="s">
        <v>921</v>
      </c>
      <c r="C337" s="7" t="s">
        <v>1358</v>
      </c>
      <c r="D337" s="7" t="s">
        <v>1359</v>
      </c>
      <c r="E337" s="7" t="s">
        <v>1360</v>
      </c>
      <c r="F337" s="9" t="s">
        <v>235</v>
      </c>
      <c r="G337" s="1" t="s">
        <v>920</v>
      </c>
      <c r="H337" s="10"/>
      <c r="I337" s="10">
        <v>4</v>
      </c>
      <c r="J337" s="10"/>
      <c r="K337" s="10"/>
      <c r="L337" s="10">
        <v>4</v>
      </c>
      <c r="M337" s="10">
        <v>8</v>
      </c>
      <c r="N337" s="10"/>
      <c r="O337" s="7">
        <v>5</v>
      </c>
      <c r="P337" s="7"/>
      <c r="Q337" s="7"/>
      <c r="AB337" s="7"/>
    </row>
    <row r="338" spans="1:28" ht="28" x14ac:dyDescent="0.15">
      <c r="A338">
        <f t="shared" si="1"/>
        <v>0</v>
      </c>
      <c r="B338" s="16" t="s">
        <v>921</v>
      </c>
      <c r="C338" s="16" t="s">
        <v>917</v>
      </c>
      <c r="D338" s="16" t="s">
        <v>1361</v>
      </c>
      <c r="E338" s="16" t="s">
        <v>1362</v>
      </c>
      <c r="F338" s="24" t="s">
        <v>112</v>
      </c>
      <c r="G338" s="19" t="s">
        <v>1363</v>
      </c>
      <c r="H338" s="20"/>
      <c r="I338" s="20"/>
      <c r="J338" s="20"/>
      <c r="K338" s="20"/>
      <c r="L338" s="20"/>
      <c r="M338" s="20"/>
      <c r="N338" s="20"/>
      <c r="O338" s="21">
        <v>40</v>
      </c>
      <c r="P338" s="19"/>
      <c r="Q338" s="7"/>
      <c r="AB338" s="7"/>
    </row>
    <row r="339" spans="1:28" ht="42" x14ac:dyDescent="0.15">
      <c r="A339">
        <f t="shared" si="1"/>
        <v>0</v>
      </c>
      <c r="B339" s="1" t="s">
        <v>921</v>
      </c>
      <c r="C339" s="7" t="s">
        <v>1364</v>
      </c>
      <c r="D339" s="7" t="s">
        <v>1365</v>
      </c>
      <c r="E339" s="7" t="s">
        <v>1366</v>
      </c>
      <c r="F339" s="9" t="s">
        <v>27</v>
      </c>
      <c r="G339" s="1" t="s">
        <v>1367</v>
      </c>
      <c r="H339" s="10"/>
      <c r="I339" s="10"/>
      <c r="J339" s="10"/>
      <c r="K339" s="10">
        <v>6</v>
      </c>
      <c r="L339" s="10">
        <v>6</v>
      </c>
      <c r="M339" s="10">
        <v>6</v>
      </c>
      <c r="N339" s="10"/>
      <c r="O339" s="7">
        <v>10</v>
      </c>
      <c r="P339" s="7"/>
      <c r="Q339" s="7"/>
      <c r="AB339" s="7"/>
    </row>
    <row r="340" spans="1:28" ht="42" x14ac:dyDescent="0.15">
      <c r="A340">
        <f t="shared" si="1"/>
        <v>0</v>
      </c>
      <c r="B340" s="1" t="s">
        <v>921</v>
      </c>
      <c r="C340" s="7" t="s">
        <v>1368</v>
      </c>
      <c r="D340" s="7" t="s">
        <v>1369</v>
      </c>
      <c r="E340" s="7" t="s">
        <v>1369</v>
      </c>
      <c r="F340" s="9" t="s">
        <v>39</v>
      </c>
      <c r="G340" s="1" t="s">
        <v>1091</v>
      </c>
      <c r="H340" s="10">
        <v>4</v>
      </c>
      <c r="I340" s="10"/>
      <c r="J340" s="10"/>
      <c r="K340" s="10"/>
      <c r="L340" s="10"/>
      <c r="M340" s="10">
        <v>4</v>
      </c>
      <c r="N340" s="10"/>
      <c r="O340" s="7">
        <v>15</v>
      </c>
      <c r="P340" s="7"/>
      <c r="Q340" s="7"/>
      <c r="AB340" s="7"/>
    </row>
    <row r="341" spans="1:28" ht="42" x14ac:dyDescent="0.15">
      <c r="A341">
        <f t="shared" si="1"/>
        <v>0</v>
      </c>
      <c r="B341" s="1" t="s">
        <v>921</v>
      </c>
      <c r="C341" s="7" t="s">
        <v>1370</v>
      </c>
      <c r="D341" s="7" t="s">
        <v>1371</v>
      </c>
      <c r="E341" s="7" t="s">
        <v>1372</v>
      </c>
      <c r="F341" s="9" t="s">
        <v>107</v>
      </c>
      <c r="G341" s="1" t="s">
        <v>1373</v>
      </c>
      <c r="H341" s="10"/>
      <c r="I341" s="10"/>
      <c r="J341" s="10"/>
      <c r="K341" s="10"/>
      <c r="L341" s="10"/>
      <c r="M341" s="10"/>
      <c r="N341" s="10"/>
      <c r="O341" s="7">
        <v>20</v>
      </c>
      <c r="P341" s="7"/>
      <c r="Q341" s="7"/>
      <c r="AB341" s="7"/>
    </row>
    <row r="342" spans="1:28" ht="70" x14ac:dyDescent="0.15">
      <c r="A342">
        <f t="shared" si="1"/>
        <v>0</v>
      </c>
      <c r="B342" s="1" t="s">
        <v>921</v>
      </c>
      <c r="C342" s="7" t="s">
        <v>1374</v>
      </c>
      <c r="D342" s="7" t="s">
        <v>1375</v>
      </c>
      <c r="E342" s="7" t="s">
        <v>1376</v>
      </c>
      <c r="F342" s="9" t="s">
        <v>27</v>
      </c>
      <c r="G342" s="1" t="s">
        <v>1377</v>
      </c>
      <c r="H342" s="10">
        <v>8</v>
      </c>
      <c r="I342" s="10">
        <v>8</v>
      </c>
      <c r="J342" s="10"/>
      <c r="K342" s="10"/>
      <c r="L342" s="10"/>
      <c r="M342" s="10">
        <v>8</v>
      </c>
      <c r="N342" s="10"/>
      <c r="O342" s="7">
        <v>10</v>
      </c>
      <c r="P342" s="7"/>
      <c r="Q342" s="7"/>
      <c r="AB342" s="7"/>
    </row>
    <row r="343" spans="1:28" ht="56" x14ac:dyDescent="0.15">
      <c r="A343">
        <f t="shared" si="1"/>
        <v>0</v>
      </c>
      <c r="B343" s="1" t="s">
        <v>921</v>
      </c>
      <c r="C343" s="7" t="s">
        <v>1378</v>
      </c>
      <c r="D343" s="7" t="s">
        <v>1379</v>
      </c>
      <c r="E343" s="7" t="s">
        <v>1380</v>
      </c>
      <c r="F343" s="9" t="s">
        <v>39</v>
      </c>
      <c r="G343" s="1" t="s">
        <v>937</v>
      </c>
      <c r="H343" s="10"/>
      <c r="I343" s="10"/>
      <c r="J343" s="10"/>
      <c r="K343" s="10">
        <v>8</v>
      </c>
      <c r="L343" s="10"/>
      <c r="M343" s="10">
        <v>8</v>
      </c>
      <c r="N343" s="10"/>
      <c r="O343" s="7">
        <v>15</v>
      </c>
      <c r="P343" s="7"/>
      <c r="Q343" s="7"/>
      <c r="AB343" s="7"/>
    </row>
    <row r="344" spans="1:28" ht="14" x14ac:dyDescent="0.15">
      <c r="A344">
        <f t="shared" si="1"/>
        <v>0</v>
      </c>
      <c r="B344" s="1" t="s">
        <v>921</v>
      </c>
      <c r="C344" s="7" t="s">
        <v>1381</v>
      </c>
      <c r="D344" s="7" t="s">
        <v>1382</v>
      </c>
      <c r="E344" s="7" t="s">
        <v>1383</v>
      </c>
      <c r="F344" s="9" t="s">
        <v>1384</v>
      </c>
      <c r="G344" s="1" t="s">
        <v>1385</v>
      </c>
      <c r="H344" s="10"/>
      <c r="I344" s="10"/>
      <c r="J344" s="10"/>
      <c r="K344" s="10"/>
      <c r="L344" s="10">
        <v>6</v>
      </c>
      <c r="M344" s="10">
        <v>6</v>
      </c>
      <c r="N344" s="10"/>
      <c r="O344" s="7">
        <v>60</v>
      </c>
      <c r="P344" s="7">
        <v>120</v>
      </c>
      <c r="Q344" s="7">
        <v>180</v>
      </c>
      <c r="AB344" s="7"/>
    </row>
    <row r="345" spans="1:28" ht="28" x14ac:dyDescent="0.15">
      <c r="A345">
        <f t="shared" si="1"/>
        <v>0</v>
      </c>
      <c r="B345" s="1" t="s">
        <v>921</v>
      </c>
      <c r="C345" s="7" t="s">
        <v>1386</v>
      </c>
      <c r="D345" s="7" t="s">
        <v>1387</v>
      </c>
      <c r="E345" s="7" t="s">
        <v>1388</v>
      </c>
      <c r="F345" s="9" t="s">
        <v>1163</v>
      </c>
      <c r="G345" s="1" t="s">
        <v>1389</v>
      </c>
      <c r="H345" s="10"/>
      <c r="I345" s="10"/>
      <c r="J345" s="10"/>
      <c r="K345" s="10">
        <v>2</v>
      </c>
      <c r="L345" s="10"/>
      <c r="M345" s="10">
        <v>2</v>
      </c>
      <c r="N345" s="10"/>
      <c r="O345" s="7">
        <v>3</v>
      </c>
      <c r="P345" s="7"/>
      <c r="Q345" s="7"/>
      <c r="AB345" s="7"/>
    </row>
    <row r="346" spans="1:28" ht="42" x14ac:dyDescent="0.15">
      <c r="A346">
        <f t="shared" si="1"/>
        <v>0</v>
      </c>
      <c r="B346" s="1" t="s">
        <v>921</v>
      </c>
      <c r="C346" s="7" t="s">
        <v>1390</v>
      </c>
      <c r="D346" s="7" t="s">
        <v>1391</v>
      </c>
      <c r="E346" s="7" t="s">
        <v>1392</v>
      </c>
      <c r="F346" s="9" t="s">
        <v>27</v>
      </c>
      <c r="G346" s="1" t="s">
        <v>1393</v>
      </c>
      <c r="H346" s="10"/>
      <c r="I346" s="10"/>
      <c r="J346" s="10"/>
      <c r="K346" s="10">
        <v>6</v>
      </c>
      <c r="L346" s="10"/>
      <c r="M346" s="10">
        <v>6</v>
      </c>
      <c r="N346" s="10"/>
      <c r="O346" s="7">
        <v>10</v>
      </c>
      <c r="P346" s="7"/>
      <c r="Q346" s="7"/>
      <c r="AB346" s="7"/>
    </row>
    <row r="347" spans="1:28" ht="140" x14ac:dyDescent="0.15">
      <c r="A347">
        <f t="shared" si="1"/>
        <v>0</v>
      </c>
      <c r="B347" s="1" t="s">
        <v>921</v>
      </c>
      <c r="C347" s="7" t="s">
        <v>1394</v>
      </c>
      <c r="D347" s="7" t="s">
        <v>1395</v>
      </c>
      <c r="E347" s="7" t="s">
        <v>1396</v>
      </c>
      <c r="F347" s="9" t="s">
        <v>1397</v>
      </c>
      <c r="G347" s="1" t="s">
        <v>1398</v>
      </c>
      <c r="H347" s="10"/>
      <c r="I347" s="10">
        <v>4</v>
      </c>
      <c r="J347" s="10">
        <v>4</v>
      </c>
      <c r="K347" s="10"/>
      <c r="L347" s="10"/>
      <c r="M347" s="10">
        <v>4</v>
      </c>
      <c r="N347" s="10"/>
      <c r="O347" s="7">
        <v>5</v>
      </c>
      <c r="P347" s="7">
        <v>15</v>
      </c>
      <c r="Q347" s="7">
        <v>30</v>
      </c>
      <c r="AB347" s="7"/>
    </row>
    <row r="348" spans="1:28" ht="14" x14ac:dyDescent="0.15">
      <c r="A348">
        <f t="shared" si="1"/>
        <v>0</v>
      </c>
      <c r="B348" s="1" t="s">
        <v>921</v>
      </c>
      <c r="C348" s="7" t="s">
        <v>1399</v>
      </c>
      <c r="D348" s="7" t="s">
        <v>1400</v>
      </c>
      <c r="E348" s="7" t="s">
        <v>1401</v>
      </c>
      <c r="F348" s="9" t="s">
        <v>27</v>
      </c>
      <c r="G348" s="1" t="s">
        <v>394</v>
      </c>
      <c r="H348" s="10"/>
      <c r="I348" s="10"/>
      <c r="J348" s="10"/>
      <c r="K348" s="10"/>
      <c r="L348" s="10"/>
      <c r="M348" s="10"/>
      <c r="N348" s="10"/>
      <c r="O348" s="7">
        <v>10</v>
      </c>
      <c r="P348" s="7"/>
      <c r="Q348" s="7"/>
      <c r="AB348" s="7"/>
    </row>
    <row r="349" spans="1:28" ht="42" x14ac:dyDescent="0.15">
      <c r="A349">
        <f t="shared" si="1"/>
        <v>0</v>
      </c>
      <c r="B349" s="1" t="s">
        <v>921</v>
      </c>
      <c r="C349" s="7" t="s">
        <v>1402</v>
      </c>
      <c r="D349" s="7" t="s">
        <v>1403</v>
      </c>
      <c r="E349" s="7" t="s">
        <v>1404</v>
      </c>
      <c r="F349" s="9" t="s">
        <v>27</v>
      </c>
      <c r="G349" s="1" t="s">
        <v>1405</v>
      </c>
      <c r="H349" s="10">
        <v>6</v>
      </c>
      <c r="I349" s="10">
        <v>6</v>
      </c>
      <c r="J349" s="10">
        <v>6</v>
      </c>
      <c r="K349" s="10"/>
      <c r="L349" s="10"/>
      <c r="M349" s="10">
        <v>6</v>
      </c>
      <c r="N349" s="10"/>
      <c r="O349" s="7">
        <v>5</v>
      </c>
      <c r="P349" s="7"/>
      <c r="Q349" s="7"/>
      <c r="AB349" s="7"/>
    </row>
    <row r="350" spans="1:28" ht="56" x14ac:dyDescent="0.15">
      <c r="A350">
        <f t="shared" si="1"/>
        <v>0</v>
      </c>
      <c r="B350" s="1" t="s">
        <v>921</v>
      </c>
      <c r="C350" s="7" t="s">
        <v>1406</v>
      </c>
      <c r="D350" s="7" t="s">
        <v>1407</v>
      </c>
      <c r="E350" s="7" t="s">
        <v>1408</v>
      </c>
      <c r="F350" s="9" t="s">
        <v>1312</v>
      </c>
      <c r="G350" s="1" t="s">
        <v>1409</v>
      </c>
      <c r="H350" s="10"/>
      <c r="I350" s="10"/>
      <c r="J350" s="10"/>
      <c r="K350" s="10"/>
      <c r="L350" s="10">
        <v>2</v>
      </c>
      <c r="M350" s="10">
        <v>2</v>
      </c>
      <c r="N350" s="10"/>
      <c r="O350" s="7">
        <v>5</v>
      </c>
      <c r="P350" s="7">
        <v>15</v>
      </c>
      <c r="Q350" s="7">
        <v>30</v>
      </c>
      <c r="R350" s="1">
        <v>50</v>
      </c>
      <c r="S350" s="1">
        <v>75</v>
      </c>
      <c r="T350" s="1">
        <v>105</v>
      </c>
      <c r="U350" s="1">
        <v>140</v>
      </c>
      <c r="V350" s="1">
        <v>180</v>
      </c>
      <c r="W350" s="1">
        <v>225</v>
      </c>
      <c r="X350" s="1">
        <v>275</v>
      </c>
      <c r="AB350" s="7"/>
    </row>
    <row r="351" spans="1:28" ht="84" x14ac:dyDescent="0.15">
      <c r="A351">
        <f t="shared" si="1"/>
        <v>0</v>
      </c>
      <c r="B351" s="1" t="s">
        <v>921</v>
      </c>
      <c r="C351" s="7" t="s">
        <v>1410</v>
      </c>
      <c r="D351" s="7" t="s">
        <v>1411</v>
      </c>
      <c r="E351" s="7" t="s">
        <v>1412</v>
      </c>
      <c r="F351" s="9" t="s">
        <v>1413</v>
      </c>
      <c r="G351" s="1" t="s">
        <v>1414</v>
      </c>
      <c r="H351" s="10"/>
      <c r="I351" s="10"/>
      <c r="J351" s="10"/>
      <c r="K351" s="10"/>
      <c r="L351" s="10"/>
      <c r="M351" s="10"/>
      <c r="N351" s="10"/>
      <c r="O351" s="7">
        <v>10</v>
      </c>
      <c r="P351" s="7">
        <v>75</v>
      </c>
      <c r="Q351" s="7"/>
      <c r="AB351" s="7"/>
    </row>
    <row r="352" spans="1:28" ht="84" x14ac:dyDescent="0.15">
      <c r="A352">
        <f t="shared" si="1"/>
        <v>0</v>
      </c>
      <c r="B352" s="1" t="s">
        <v>921</v>
      </c>
      <c r="C352" s="7" t="s">
        <v>1415</v>
      </c>
      <c r="D352" s="7" t="s">
        <v>1416</v>
      </c>
      <c r="E352" s="7" t="s">
        <v>1417</v>
      </c>
      <c r="F352" s="9" t="s">
        <v>235</v>
      </c>
      <c r="G352" s="1" t="s">
        <v>1418</v>
      </c>
      <c r="H352" s="10"/>
      <c r="I352" s="10">
        <v>4</v>
      </c>
      <c r="J352" s="10"/>
      <c r="K352" s="10"/>
      <c r="L352" s="10">
        <v>4</v>
      </c>
      <c r="M352" s="10">
        <v>4</v>
      </c>
      <c r="N352" s="10"/>
      <c r="O352" s="7">
        <v>5</v>
      </c>
      <c r="P352" s="7"/>
      <c r="Q352" s="7"/>
      <c r="AB352" s="7"/>
    </row>
    <row r="353" spans="1:28" ht="42" x14ac:dyDescent="0.15">
      <c r="A353">
        <f t="shared" si="1"/>
        <v>0</v>
      </c>
      <c r="B353" s="1" t="s">
        <v>921</v>
      </c>
      <c r="C353" s="7" t="s">
        <v>1419</v>
      </c>
      <c r="D353" s="7" t="s">
        <v>1420</v>
      </c>
      <c r="E353" s="7" t="s">
        <v>1421</v>
      </c>
      <c r="F353" s="9" t="s">
        <v>1422</v>
      </c>
      <c r="G353" s="1" t="s">
        <v>134</v>
      </c>
      <c r="H353" s="10"/>
      <c r="I353" s="10"/>
      <c r="J353" s="10"/>
      <c r="K353" s="10"/>
      <c r="L353" s="10">
        <v>6</v>
      </c>
      <c r="M353" s="10">
        <v>6</v>
      </c>
      <c r="N353" s="10"/>
      <c r="O353" s="7">
        <v>10</v>
      </c>
      <c r="P353" s="7">
        <v>30</v>
      </c>
      <c r="Q353" s="7">
        <v>60</v>
      </c>
      <c r="AB353" s="7"/>
    </row>
    <row r="354" spans="1:28" ht="42" x14ac:dyDescent="0.15">
      <c r="A354">
        <f t="shared" si="1"/>
        <v>0</v>
      </c>
      <c r="B354" s="1" t="s">
        <v>921</v>
      </c>
      <c r="C354" s="7" t="s">
        <v>1423</v>
      </c>
      <c r="D354" s="7" t="s">
        <v>1424</v>
      </c>
      <c r="E354" s="7" t="s">
        <v>1425</v>
      </c>
      <c r="F354" s="9" t="s">
        <v>107</v>
      </c>
      <c r="G354" s="1" t="s">
        <v>1426</v>
      </c>
      <c r="H354" s="10"/>
      <c r="I354" s="10">
        <v>8</v>
      </c>
      <c r="J354" s="10"/>
      <c r="K354" s="10" t="s">
        <v>1427</v>
      </c>
      <c r="L354" s="10">
        <v>8</v>
      </c>
      <c r="M354" s="10">
        <v>12</v>
      </c>
      <c r="N354" s="10"/>
      <c r="O354" s="7">
        <v>20</v>
      </c>
      <c r="P354" s="7"/>
      <c r="Q354" s="7"/>
      <c r="AB354" s="7"/>
    </row>
    <row r="355" spans="1:28" ht="98" x14ac:dyDescent="0.15">
      <c r="A355">
        <f t="shared" si="1"/>
        <v>0</v>
      </c>
      <c r="B355" s="1" t="s">
        <v>921</v>
      </c>
      <c r="C355" s="7" t="s">
        <v>1428</v>
      </c>
      <c r="D355" s="7" t="s">
        <v>1429</v>
      </c>
      <c r="E355" s="7" t="s">
        <v>1430</v>
      </c>
      <c r="F355" s="9" t="s">
        <v>1163</v>
      </c>
      <c r="G355" s="1" t="s">
        <v>1431</v>
      </c>
      <c r="H355" s="10"/>
      <c r="I355" s="10"/>
      <c r="J355" s="10"/>
      <c r="K355" s="10"/>
      <c r="L355" s="10"/>
      <c r="M355" s="10"/>
      <c r="N355" s="10"/>
      <c r="O355" s="7">
        <v>3</v>
      </c>
      <c r="P355" s="7"/>
      <c r="Q355" s="7"/>
      <c r="AB355" s="7"/>
    </row>
    <row r="356" spans="1:28" ht="42" x14ac:dyDescent="0.15">
      <c r="A356">
        <f t="shared" si="1"/>
        <v>0</v>
      </c>
      <c r="B356" s="1" t="s">
        <v>921</v>
      </c>
      <c r="C356" s="7" t="s">
        <v>1432</v>
      </c>
      <c r="D356" s="7" t="s">
        <v>1433</v>
      </c>
      <c r="E356" s="7" t="s">
        <v>1434</v>
      </c>
      <c r="F356" s="9" t="s">
        <v>235</v>
      </c>
      <c r="G356" s="1" t="s">
        <v>1435</v>
      </c>
      <c r="H356" s="10"/>
      <c r="I356" s="10"/>
      <c r="J356" s="10"/>
      <c r="K356" s="10"/>
      <c r="L356" s="10">
        <v>3</v>
      </c>
      <c r="M356" s="10">
        <v>0</v>
      </c>
      <c r="N356" s="10"/>
      <c r="O356" s="7">
        <v>5</v>
      </c>
      <c r="P356" s="7"/>
      <c r="Q356" s="7"/>
      <c r="AB356" s="7"/>
    </row>
    <row r="357" spans="1:28" ht="98" x14ac:dyDescent="0.15">
      <c r="A357">
        <f t="shared" si="1"/>
        <v>0</v>
      </c>
      <c r="B357" s="1" t="s">
        <v>921</v>
      </c>
      <c r="C357" s="7" t="s">
        <v>1436</v>
      </c>
      <c r="D357" s="7" t="s">
        <v>1437</v>
      </c>
      <c r="E357" s="7" t="s">
        <v>1438</v>
      </c>
      <c r="F357" s="9" t="s">
        <v>235</v>
      </c>
      <c r="G357" s="1" t="s">
        <v>1152</v>
      </c>
      <c r="H357" s="10"/>
      <c r="I357" s="10"/>
      <c r="J357" s="10"/>
      <c r="K357" s="10"/>
      <c r="L357" s="10">
        <v>4</v>
      </c>
      <c r="M357" s="10">
        <v>4</v>
      </c>
      <c r="N357" s="10"/>
      <c r="O357" s="7">
        <v>5</v>
      </c>
      <c r="P357" s="7"/>
      <c r="Q357" s="7"/>
      <c r="AB357" s="7"/>
    </row>
    <row r="358" spans="1:28" ht="28" x14ac:dyDescent="0.15">
      <c r="A358">
        <f t="shared" si="1"/>
        <v>0</v>
      </c>
      <c r="B358" s="1" t="s">
        <v>921</v>
      </c>
      <c r="C358" s="7" t="s">
        <v>1439</v>
      </c>
      <c r="D358" s="7" t="s">
        <v>1440</v>
      </c>
      <c r="E358" s="7" t="s">
        <v>1441</v>
      </c>
      <c r="F358" s="9" t="s">
        <v>235</v>
      </c>
      <c r="G358" s="1" t="s">
        <v>1442</v>
      </c>
      <c r="H358" s="10"/>
      <c r="I358" s="10"/>
      <c r="J358" s="10"/>
      <c r="K358" s="10"/>
      <c r="L358" s="10"/>
      <c r="M358" s="10"/>
      <c r="N358" s="10"/>
      <c r="O358" s="7">
        <v>5</v>
      </c>
      <c r="P358" s="7"/>
      <c r="Q358" s="7"/>
      <c r="AB358" s="7"/>
    </row>
    <row r="359" spans="1:28" ht="28" x14ac:dyDescent="0.15">
      <c r="A359">
        <f t="shared" si="1"/>
        <v>0</v>
      </c>
      <c r="B359" s="1" t="s">
        <v>921</v>
      </c>
      <c r="C359" s="7" t="s">
        <v>1443</v>
      </c>
      <c r="D359" s="7" t="s">
        <v>1444</v>
      </c>
      <c r="E359" s="7" t="s">
        <v>1445</v>
      </c>
      <c r="F359" s="9" t="s">
        <v>107</v>
      </c>
      <c r="G359" s="1" t="s">
        <v>1446</v>
      </c>
      <c r="H359" s="10"/>
      <c r="I359" s="10"/>
      <c r="J359" s="10"/>
      <c r="K359" s="10"/>
      <c r="L359" s="10"/>
      <c r="M359" s="10"/>
      <c r="N359" s="10"/>
      <c r="O359" s="7">
        <v>20</v>
      </c>
      <c r="P359" s="7"/>
      <c r="Q359" s="7"/>
      <c r="AB359" s="7"/>
    </row>
    <row r="360" spans="1:28" ht="28" x14ac:dyDescent="0.15">
      <c r="A360">
        <f t="shared" si="1"/>
        <v>0</v>
      </c>
      <c r="B360" s="1" t="s">
        <v>921</v>
      </c>
      <c r="C360" s="7" t="s">
        <v>1447</v>
      </c>
      <c r="D360" s="7" t="s">
        <v>1448</v>
      </c>
      <c r="E360" s="7" t="s">
        <v>1448</v>
      </c>
      <c r="F360" s="9" t="s">
        <v>235</v>
      </c>
      <c r="G360" s="1" t="s">
        <v>1449</v>
      </c>
      <c r="H360" s="10"/>
      <c r="I360" s="10">
        <v>4</v>
      </c>
      <c r="J360" s="10"/>
      <c r="K360" s="10"/>
      <c r="L360" s="10">
        <v>4</v>
      </c>
      <c r="M360" s="10">
        <v>4</v>
      </c>
      <c r="N360" s="10"/>
      <c r="O360" s="7">
        <v>5</v>
      </c>
      <c r="P360" s="7"/>
      <c r="Q360" s="7"/>
      <c r="AB360" s="7"/>
    </row>
    <row r="361" spans="1:28" ht="98" x14ac:dyDescent="0.15">
      <c r="A361">
        <f t="shared" si="1"/>
        <v>0</v>
      </c>
      <c r="B361" s="1" t="s">
        <v>921</v>
      </c>
      <c r="C361" s="7" t="s">
        <v>1450</v>
      </c>
      <c r="D361" s="7" t="s">
        <v>1451</v>
      </c>
      <c r="E361" s="7" t="s">
        <v>1452</v>
      </c>
      <c r="F361" s="9" t="s">
        <v>235</v>
      </c>
      <c r="G361" s="1" t="s">
        <v>1453</v>
      </c>
      <c r="H361" s="10"/>
      <c r="I361" s="10"/>
      <c r="J361" s="10">
        <v>3</v>
      </c>
      <c r="K361" s="10">
        <v>3</v>
      </c>
      <c r="L361" s="10"/>
      <c r="M361" s="10">
        <v>6</v>
      </c>
      <c r="N361" s="10"/>
      <c r="O361" s="7">
        <v>5</v>
      </c>
      <c r="P361" s="7"/>
      <c r="Q361" s="7"/>
      <c r="AB361" s="7"/>
    </row>
    <row r="362" spans="1:28" ht="56" x14ac:dyDescent="0.15">
      <c r="A362">
        <f t="shared" si="1"/>
        <v>0</v>
      </c>
      <c r="B362" s="1" t="s">
        <v>1454</v>
      </c>
      <c r="C362" s="7" t="s">
        <v>1455</v>
      </c>
      <c r="D362" s="7" t="s">
        <v>1456</v>
      </c>
      <c r="E362" s="7" t="s">
        <v>1457</v>
      </c>
      <c r="F362" s="9" t="s">
        <v>107</v>
      </c>
      <c r="G362" s="1" t="s">
        <v>519</v>
      </c>
      <c r="H362" s="10"/>
      <c r="I362" s="10"/>
      <c r="J362" s="10"/>
      <c r="K362" s="10"/>
      <c r="L362" s="10"/>
      <c r="M362" s="10"/>
      <c r="N362" s="10"/>
      <c r="O362" s="7">
        <v>20</v>
      </c>
      <c r="P362" s="7"/>
      <c r="Q362" s="7"/>
      <c r="AB362" s="7"/>
    </row>
    <row r="363" spans="1:28" ht="112" x14ac:dyDescent="0.15">
      <c r="A363">
        <f t="shared" si="1"/>
        <v>0</v>
      </c>
      <c r="B363" s="1" t="s">
        <v>308</v>
      </c>
      <c r="C363" s="7" t="s">
        <v>1458</v>
      </c>
      <c r="D363" s="7" t="s">
        <v>1459</v>
      </c>
      <c r="E363" s="7" t="s">
        <v>1460</v>
      </c>
      <c r="F363" s="9" t="s">
        <v>235</v>
      </c>
      <c r="G363" s="1" t="s">
        <v>1461</v>
      </c>
      <c r="H363" s="10"/>
      <c r="I363" s="10"/>
      <c r="J363" s="10"/>
      <c r="K363" s="10"/>
      <c r="L363" s="10">
        <v>12</v>
      </c>
      <c r="M363" s="10">
        <v>12</v>
      </c>
      <c r="N363" s="10"/>
      <c r="O363" s="7">
        <v>5</v>
      </c>
      <c r="P363" s="7"/>
      <c r="Q363" s="7"/>
      <c r="AB363" s="7"/>
    </row>
    <row r="364" spans="1:28" ht="154" x14ac:dyDescent="0.15">
      <c r="A364">
        <f t="shared" si="1"/>
        <v>0</v>
      </c>
      <c r="B364" s="1" t="s">
        <v>308</v>
      </c>
      <c r="C364" s="7" t="s">
        <v>1462</v>
      </c>
      <c r="D364" s="7" t="s">
        <v>1463</v>
      </c>
      <c r="E364" s="7" t="s">
        <v>1464</v>
      </c>
      <c r="F364" s="9" t="s">
        <v>27</v>
      </c>
      <c r="G364" s="1" t="s">
        <v>1300</v>
      </c>
      <c r="H364" s="10"/>
      <c r="I364" s="10">
        <v>4</v>
      </c>
      <c r="J364" s="10"/>
      <c r="K364" s="10"/>
      <c r="L364" s="10"/>
      <c r="M364" s="10">
        <v>4</v>
      </c>
      <c r="N364" s="10"/>
      <c r="O364" s="7">
        <v>10</v>
      </c>
      <c r="P364" s="7"/>
      <c r="AB364" s="7"/>
    </row>
    <row r="365" spans="1:28" ht="293" x14ac:dyDescent="0.15">
      <c r="A365">
        <f t="shared" si="1"/>
        <v>0</v>
      </c>
      <c r="B365" s="1" t="s">
        <v>308</v>
      </c>
      <c r="C365" s="7" t="s">
        <v>1465</v>
      </c>
      <c r="D365" s="7" t="s">
        <v>1466</v>
      </c>
      <c r="E365" s="7" t="s">
        <v>1467</v>
      </c>
      <c r="F365" s="9" t="s">
        <v>39</v>
      </c>
      <c r="G365" s="1" t="s">
        <v>361</v>
      </c>
      <c r="H365" s="10"/>
      <c r="I365" s="10"/>
      <c r="J365" s="10"/>
      <c r="K365" s="10"/>
      <c r="L365" s="10"/>
      <c r="M365" s="10"/>
      <c r="N365" s="10"/>
      <c r="O365" s="7">
        <v>15</v>
      </c>
      <c r="P365" s="7"/>
      <c r="Q365" s="7"/>
      <c r="AB365" s="7"/>
    </row>
    <row r="366" spans="1:28" ht="70" x14ac:dyDescent="0.15">
      <c r="A366">
        <f t="shared" si="1"/>
        <v>0</v>
      </c>
      <c r="B366" s="16" t="s">
        <v>308</v>
      </c>
      <c r="C366" s="16" t="s">
        <v>1468</v>
      </c>
      <c r="D366" s="16" t="s">
        <v>1469</v>
      </c>
      <c r="E366" s="16" t="s">
        <v>1470</v>
      </c>
      <c r="F366" s="24" t="s">
        <v>27</v>
      </c>
      <c r="G366" s="19" t="s">
        <v>1471</v>
      </c>
      <c r="H366" s="20"/>
      <c r="I366" s="20"/>
      <c r="J366" s="20"/>
      <c r="K366" s="20"/>
      <c r="L366" s="20"/>
      <c r="M366" s="20"/>
      <c r="N366" s="20"/>
      <c r="O366" s="21">
        <v>10</v>
      </c>
      <c r="P366" s="19"/>
      <c r="Q366" s="7"/>
      <c r="AB366" s="7"/>
    </row>
    <row r="367" spans="1:28" ht="140" x14ac:dyDescent="0.15">
      <c r="A367">
        <f t="shared" si="1"/>
        <v>0</v>
      </c>
      <c r="B367" s="1" t="s">
        <v>1472</v>
      </c>
      <c r="C367" s="7" t="s">
        <v>1473</v>
      </c>
      <c r="D367" s="7" t="s">
        <v>1474</v>
      </c>
      <c r="E367" s="7" t="s">
        <v>1475</v>
      </c>
      <c r="F367" s="9" t="s">
        <v>39</v>
      </c>
      <c r="G367" s="1" t="s">
        <v>688</v>
      </c>
      <c r="H367" s="10">
        <v>4</v>
      </c>
      <c r="I367" s="10"/>
      <c r="J367" s="10"/>
      <c r="K367" s="10"/>
      <c r="L367" s="10">
        <v>4</v>
      </c>
      <c r="M367" s="10">
        <v>4</v>
      </c>
      <c r="N367" s="10"/>
      <c r="O367" s="7">
        <v>15</v>
      </c>
      <c r="P367" s="7"/>
      <c r="Q367" s="7"/>
      <c r="AB367" s="7"/>
    </row>
    <row r="368" spans="1:28" ht="266" x14ac:dyDescent="0.15">
      <c r="A368">
        <f t="shared" si="1"/>
        <v>0</v>
      </c>
      <c r="B368" s="1" t="s">
        <v>1472</v>
      </c>
      <c r="C368" s="7" t="s">
        <v>1476</v>
      </c>
      <c r="D368" s="7" t="s">
        <v>1477</v>
      </c>
      <c r="E368" s="7" t="s">
        <v>1478</v>
      </c>
      <c r="F368" s="9" t="s">
        <v>27</v>
      </c>
      <c r="G368" s="1" t="s">
        <v>680</v>
      </c>
      <c r="H368" s="10">
        <v>10</v>
      </c>
      <c r="I368" s="10"/>
      <c r="J368" s="10"/>
      <c r="K368" s="10"/>
      <c r="L368" s="10"/>
      <c r="M368" s="10">
        <v>10</v>
      </c>
      <c r="N368" s="10"/>
      <c r="O368" s="7">
        <v>10</v>
      </c>
      <c r="P368" s="7"/>
      <c r="Q368" s="7"/>
      <c r="AB368" s="7"/>
    </row>
    <row r="369" spans="1:28" ht="224" x14ac:dyDescent="0.15">
      <c r="A369">
        <f t="shared" si="1"/>
        <v>0</v>
      </c>
      <c r="B369" s="16" t="s">
        <v>1472</v>
      </c>
      <c r="C369" s="16" t="s">
        <v>1479</v>
      </c>
      <c r="D369" s="16" t="s">
        <v>1480</v>
      </c>
      <c r="E369" s="16" t="s">
        <v>1481</v>
      </c>
      <c r="F369" s="24" t="s">
        <v>127</v>
      </c>
      <c r="G369" s="19" t="s">
        <v>591</v>
      </c>
      <c r="H369" s="20"/>
      <c r="I369" s="20"/>
      <c r="J369" s="20"/>
      <c r="K369" s="20"/>
      <c r="L369" s="20"/>
      <c r="M369" s="20"/>
      <c r="N369" s="20"/>
      <c r="O369" s="21">
        <v>50</v>
      </c>
      <c r="P369" s="19"/>
      <c r="Q369" s="7"/>
      <c r="AB369" s="7"/>
    </row>
    <row r="370" spans="1:28" ht="168" x14ac:dyDescent="0.15">
      <c r="A370">
        <f t="shared" si="1"/>
        <v>0</v>
      </c>
      <c r="B370" s="1" t="s">
        <v>1472</v>
      </c>
      <c r="C370" s="7" t="s">
        <v>1482</v>
      </c>
      <c r="D370" s="7" t="s">
        <v>1483</v>
      </c>
      <c r="E370" s="7" t="s">
        <v>1484</v>
      </c>
      <c r="F370" s="9" t="s">
        <v>27</v>
      </c>
      <c r="G370" s="1" t="s">
        <v>244</v>
      </c>
      <c r="H370" s="10"/>
      <c r="I370" s="10"/>
      <c r="J370" s="10">
        <v>6</v>
      </c>
      <c r="K370" s="10"/>
      <c r="L370" s="10"/>
      <c r="M370" s="10">
        <v>6</v>
      </c>
      <c r="N370" s="10"/>
      <c r="O370" s="7">
        <v>10</v>
      </c>
      <c r="P370" s="7"/>
      <c r="Q370" s="7"/>
      <c r="AB370" s="7"/>
    </row>
    <row r="371" spans="1:28" ht="14" x14ac:dyDescent="0.15">
      <c r="A371">
        <f t="shared" si="1"/>
        <v>0</v>
      </c>
      <c r="B371" s="1" t="s">
        <v>1472</v>
      </c>
      <c r="C371" s="7" t="s">
        <v>1485</v>
      </c>
      <c r="D371" s="7" t="s">
        <v>1486</v>
      </c>
      <c r="E371" s="1" t="s">
        <v>1487</v>
      </c>
      <c r="F371" s="9" t="s">
        <v>235</v>
      </c>
      <c r="G371" s="1" t="s">
        <v>1488</v>
      </c>
      <c r="H371" s="10"/>
      <c r="I371" s="10">
        <v>4</v>
      </c>
      <c r="J371" s="10"/>
      <c r="K371" s="10"/>
      <c r="L371" s="10"/>
      <c r="M371" s="10">
        <v>4</v>
      </c>
      <c r="N371" s="10"/>
      <c r="O371" s="7">
        <v>5</v>
      </c>
      <c r="P371" s="7"/>
      <c r="Q371" s="7"/>
      <c r="AB371" s="7"/>
    </row>
    <row r="372" spans="1:28" ht="319" x14ac:dyDescent="0.15">
      <c r="A372">
        <f t="shared" si="1"/>
        <v>0</v>
      </c>
      <c r="B372" s="1" t="s">
        <v>1472</v>
      </c>
      <c r="C372" s="7" t="s">
        <v>1489</v>
      </c>
      <c r="D372" s="7" t="s">
        <v>1490</v>
      </c>
      <c r="E372" s="7" t="s">
        <v>1491</v>
      </c>
      <c r="F372" s="9" t="s">
        <v>27</v>
      </c>
      <c r="G372" s="1" t="s">
        <v>937</v>
      </c>
      <c r="H372" s="10"/>
      <c r="I372" s="10"/>
      <c r="J372" s="10"/>
      <c r="K372" s="10">
        <v>6</v>
      </c>
      <c r="L372" s="10"/>
      <c r="M372" s="10">
        <v>6</v>
      </c>
      <c r="N372" s="10"/>
      <c r="O372" s="7">
        <v>10</v>
      </c>
      <c r="P372" s="7"/>
      <c r="Q372" s="7"/>
      <c r="AB372" s="7"/>
    </row>
    <row r="373" spans="1:28" ht="112" x14ac:dyDescent="0.15">
      <c r="A373">
        <f t="shared" si="1"/>
        <v>0</v>
      </c>
      <c r="B373" s="1" t="s">
        <v>1472</v>
      </c>
      <c r="C373" s="7" t="s">
        <v>1492</v>
      </c>
      <c r="D373" s="7" t="s">
        <v>1493</v>
      </c>
      <c r="E373" s="7" t="s">
        <v>1494</v>
      </c>
      <c r="F373" s="9" t="s">
        <v>735</v>
      </c>
      <c r="G373" s="1" t="s">
        <v>170</v>
      </c>
      <c r="H373" s="10">
        <v>4</v>
      </c>
      <c r="I373" s="10"/>
      <c r="J373" s="10"/>
      <c r="K373" s="10"/>
      <c r="L373" s="10"/>
      <c r="M373" s="10">
        <v>4</v>
      </c>
      <c r="N373" s="10"/>
      <c r="O373" s="7">
        <v>4</v>
      </c>
      <c r="P373" s="7"/>
      <c r="Q373" s="7"/>
      <c r="AB373" s="7"/>
    </row>
    <row r="374" spans="1:28" ht="182" x14ac:dyDescent="0.15">
      <c r="A374">
        <f t="shared" si="1"/>
        <v>0</v>
      </c>
      <c r="B374" s="1" t="s">
        <v>1472</v>
      </c>
      <c r="C374" s="7" t="s">
        <v>1495</v>
      </c>
      <c r="D374" s="7" t="s">
        <v>1496</v>
      </c>
      <c r="E374" s="7" t="s">
        <v>1497</v>
      </c>
      <c r="F374" s="9" t="s">
        <v>39</v>
      </c>
      <c r="G374" s="1" t="s">
        <v>275</v>
      </c>
      <c r="H374" s="10"/>
      <c r="I374" s="10"/>
      <c r="J374" s="10">
        <v>6</v>
      </c>
      <c r="K374" s="10"/>
      <c r="L374" s="10"/>
      <c r="M374" s="10">
        <v>6</v>
      </c>
      <c r="N374" s="10"/>
      <c r="O374" s="7">
        <v>15</v>
      </c>
      <c r="P374" s="7"/>
      <c r="Q374" s="7"/>
      <c r="AB374" s="7"/>
    </row>
    <row r="375" spans="1:28" ht="154" x14ac:dyDescent="0.15">
      <c r="A375">
        <f t="shared" si="1"/>
        <v>0</v>
      </c>
      <c r="B375" s="1" t="s">
        <v>1472</v>
      </c>
      <c r="C375" s="7" t="s">
        <v>1498</v>
      </c>
      <c r="D375" s="7" t="s">
        <v>1499</v>
      </c>
      <c r="E375" s="7" t="s">
        <v>1500</v>
      </c>
      <c r="F375" s="9" t="s">
        <v>107</v>
      </c>
      <c r="G375" s="1" t="s">
        <v>1501</v>
      </c>
      <c r="H375" s="10">
        <v>6</v>
      </c>
      <c r="I375" s="10">
        <v>6</v>
      </c>
      <c r="J375" s="10"/>
      <c r="K375" s="10"/>
      <c r="L375" s="10"/>
      <c r="M375" s="10">
        <v>6</v>
      </c>
      <c r="N375" s="10"/>
      <c r="O375" s="7">
        <v>20</v>
      </c>
      <c r="P375" s="7"/>
      <c r="Q375" s="7"/>
      <c r="AB375" s="7"/>
    </row>
    <row r="376" spans="1:28" ht="140" x14ac:dyDescent="0.15">
      <c r="A376">
        <f t="shared" si="1"/>
        <v>0</v>
      </c>
      <c r="B376" s="1" t="s">
        <v>1472</v>
      </c>
      <c r="C376" s="7" t="s">
        <v>1502</v>
      </c>
      <c r="D376" s="7" t="s">
        <v>1503</v>
      </c>
      <c r="E376" s="7" t="s">
        <v>1504</v>
      </c>
      <c r="F376" s="9" t="s">
        <v>27</v>
      </c>
      <c r="G376" s="1" t="s">
        <v>1505</v>
      </c>
      <c r="H376" s="10">
        <v>2</v>
      </c>
      <c r="I376" s="10">
        <v>4</v>
      </c>
      <c r="J376" s="10"/>
      <c r="K376" s="10"/>
      <c r="L376" s="10">
        <v>2</v>
      </c>
      <c r="M376" s="10">
        <v>4</v>
      </c>
      <c r="N376" s="10"/>
      <c r="O376" s="7">
        <v>10</v>
      </c>
      <c r="P376" s="7"/>
      <c r="Q376" s="7"/>
      <c r="AB376" s="7"/>
    </row>
    <row r="377" spans="1:28" ht="182" x14ac:dyDescent="0.15">
      <c r="A377">
        <f t="shared" si="1"/>
        <v>0</v>
      </c>
      <c r="B377" s="1" t="s">
        <v>1472</v>
      </c>
      <c r="C377" s="7" t="s">
        <v>1506</v>
      </c>
      <c r="D377" s="7" t="s">
        <v>1507</v>
      </c>
      <c r="E377" s="7" t="s">
        <v>1508</v>
      </c>
      <c r="F377" s="9" t="s">
        <v>27</v>
      </c>
      <c r="G377" s="1" t="s">
        <v>1509</v>
      </c>
      <c r="H377" s="10"/>
      <c r="I377" s="10"/>
      <c r="J377" s="10">
        <v>4</v>
      </c>
      <c r="K377" s="10"/>
      <c r="L377" s="10"/>
      <c r="M377" s="10">
        <v>4</v>
      </c>
      <c r="N377" s="10"/>
      <c r="O377" s="7">
        <v>10</v>
      </c>
      <c r="P377" s="7"/>
      <c r="Q377" s="7"/>
      <c r="AB377" s="7"/>
    </row>
    <row r="378" spans="1:28" ht="182" x14ac:dyDescent="0.15">
      <c r="A378">
        <f t="shared" si="1"/>
        <v>0</v>
      </c>
      <c r="B378" s="1" t="s">
        <v>1472</v>
      </c>
      <c r="C378" s="7" t="s">
        <v>1510</v>
      </c>
      <c r="D378" s="7" t="s">
        <v>1511</v>
      </c>
      <c r="E378" s="7" t="s">
        <v>1512</v>
      </c>
      <c r="F378" s="9" t="s">
        <v>235</v>
      </c>
      <c r="G378" s="1" t="s">
        <v>1513</v>
      </c>
      <c r="H378" s="10">
        <v>2</v>
      </c>
      <c r="I378" s="10"/>
      <c r="J378" s="10">
        <v>2</v>
      </c>
      <c r="K378" s="10"/>
      <c r="L378" s="10"/>
      <c r="M378" s="10">
        <v>2</v>
      </c>
      <c r="N378" s="10"/>
      <c r="O378" s="7">
        <v>5</v>
      </c>
      <c r="P378" s="7"/>
      <c r="Q378" s="7"/>
      <c r="AB378" s="7"/>
    </row>
    <row r="379" spans="1:28" ht="182" x14ac:dyDescent="0.15">
      <c r="A379">
        <f t="shared" si="1"/>
        <v>0</v>
      </c>
      <c r="B379" s="1" t="s">
        <v>1472</v>
      </c>
      <c r="C379" s="7" t="s">
        <v>1514</v>
      </c>
      <c r="D379" s="7" t="s">
        <v>1515</v>
      </c>
      <c r="E379" s="7" t="s">
        <v>1516</v>
      </c>
      <c r="F379" s="9" t="s">
        <v>235</v>
      </c>
      <c r="G379" s="1" t="s">
        <v>1517</v>
      </c>
      <c r="H379" s="10">
        <v>2</v>
      </c>
      <c r="I379" s="10"/>
      <c r="J379" s="10"/>
      <c r="K379" s="10"/>
      <c r="L379" s="10">
        <v>2</v>
      </c>
      <c r="M379" s="10">
        <v>2</v>
      </c>
      <c r="N379" s="10"/>
      <c r="O379" s="7">
        <v>5</v>
      </c>
      <c r="P379" s="7"/>
      <c r="Q379" s="7"/>
      <c r="AB379" s="7"/>
    </row>
    <row r="380" spans="1:28" ht="182" x14ac:dyDescent="0.15">
      <c r="A380">
        <f t="shared" si="1"/>
        <v>0</v>
      </c>
      <c r="B380" s="1" t="s">
        <v>1472</v>
      </c>
      <c r="C380" s="7" t="s">
        <v>1518</v>
      </c>
      <c r="D380" s="7" t="s">
        <v>1519</v>
      </c>
      <c r="E380" s="7" t="s">
        <v>1516</v>
      </c>
      <c r="F380" s="9" t="s">
        <v>235</v>
      </c>
      <c r="G380" s="1" t="s">
        <v>1520</v>
      </c>
      <c r="H380" s="10">
        <v>2</v>
      </c>
      <c r="I380" s="10">
        <v>2</v>
      </c>
      <c r="J380" s="10">
        <v>2</v>
      </c>
      <c r="K380" s="10"/>
      <c r="L380" s="10">
        <v>2</v>
      </c>
      <c r="M380" s="10">
        <v>2</v>
      </c>
      <c r="N380" s="10"/>
      <c r="O380" s="7">
        <v>5</v>
      </c>
      <c r="P380" s="7"/>
      <c r="Q380" s="7"/>
      <c r="AB380" s="7"/>
    </row>
    <row r="381" spans="1:28" ht="168" x14ac:dyDescent="0.15">
      <c r="A381">
        <f t="shared" si="1"/>
        <v>0</v>
      </c>
      <c r="B381" s="1" t="s">
        <v>1472</v>
      </c>
      <c r="C381" s="7" t="s">
        <v>1521</v>
      </c>
      <c r="D381" s="7" t="s">
        <v>1522</v>
      </c>
      <c r="E381" s="7" t="s">
        <v>1523</v>
      </c>
      <c r="F381" s="9" t="s">
        <v>107</v>
      </c>
      <c r="G381" s="1" t="s">
        <v>1524</v>
      </c>
      <c r="H381" s="10">
        <v>8</v>
      </c>
      <c r="I381" s="10">
        <v>8</v>
      </c>
      <c r="J381" s="10"/>
      <c r="K381" s="10"/>
      <c r="L381" s="10">
        <v>8</v>
      </c>
      <c r="M381" s="10">
        <v>8</v>
      </c>
      <c r="N381" s="10"/>
      <c r="O381" s="7">
        <v>20</v>
      </c>
      <c r="P381" s="7"/>
      <c r="Q381" s="7"/>
      <c r="AB381" s="7"/>
    </row>
    <row r="382" spans="1:28" ht="293" x14ac:dyDescent="0.15">
      <c r="A382">
        <f t="shared" si="1"/>
        <v>0</v>
      </c>
      <c r="B382" s="1" t="s">
        <v>1472</v>
      </c>
      <c r="C382" s="7" t="s">
        <v>1525</v>
      </c>
      <c r="D382" s="7" t="s">
        <v>1526</v>
      </c>
      <c r="E382" s="7" t="s">
        <v>1527</v>
      </c>
      <c r="F382" s="9" t="s">
        <v>235</v>
      </c>
      <c r="G382" s="1" t="s">
        <v>1528</v>
      </c>
      <c r="H382" s="10">
        <v>4</v>
      </c>
      <c r="I382" s="10">
        <v>4</v>
      </c>
      <c r="J382" s="10">
        <v>4</v>
      </c>
      <c r="K382" s="10">
        <v>4</v>
      </c>
      <c r="L382" s="10">
        <v>4</v>
      </c>
      <c r="M382" s="10">
        <v>4</v>
      </c>
      <c r="N382" s="10"/>
      <c r="O382" s="7">
        <v>5</v>
      </c>
      <c r="P382" s="7"/>
      <c r="Q382" s="7"/>
      <c r="AB382" s="7"/>
    </row>
    <row r="383" spans="1:28" ht="332" x14ac:dyDescent="0.15">
      <c r="A383">
        <f t="shared" si="1"/>
        <v>0</v>
      </c>
      <c r="B383" s="1" t="s">
        <v>1472</v>
      </c>
      <c r="C383" s="7" t="s">
        <v>1529</v>
      </c>
      <c r="D383" s="7" t="s">
        <v>1530</v>
      </c>
      <c r="E383" s="16" t="s">
        <v>1531</v>
      </c>
      <c r="F383" s="9" t="s">
        <v>235</v>
      </c>
      <c r="G383" s="1" t="s">
        <v>1532</v>
      </c>
      <c r="H383" s="10"/>
      <c r="I383" s="10"/>
      <c r="J383" s="10"/>
      <c r="K383" s="10"/>
      <c r="L383" s="10"/>
      <c r="M383" s="10"/>
      <c r="N383" s="10"/>
      <c r="O383" s="7">
        <v>5</v>
      </c>
      <c r="P383" s="7"/>
      <c r="Q383" s="7"/>
      <c r="AB383" s="7"/>
    </row>
    <row r="384" spans="1:28" ht="252" x14ac:dyDescent="0.15">
      <c r="A384">
        <f t="shared" si="1"/>
        <v>0</v>
      </c>
      <c r="B384" s="16" t="s">
        <v>1472</v>
      </c>
      <c r="C384" s="16" t="s">
        <v>1533</v>
      </c>
      <c r="D384" s="16" t="s">
        <v>1534</v>
      </c>
      <c r="E384" s="16" t="s">
        <v>1535</v>
      </c>
      <c r="F384" s="24" t="s">
        <v>127</v>
      </c>
      <c r="G384" s="19" t="s">
        <v>1536</v>
      </c>
      <c r="H384" s="20"/>
      <c r="I384" s="20"/>
      <c r="J384" s="20"/>
      <c r="K384" s="20"/>
      <c r="L384" s="20"/>
      <c r="M384" s="20"/>
      <c r="N384" s="20"/>
      <c r="O384" s="21">
        <v>50</v>
      </c>
      <c r="P384" s="19"/>
      <c r="Q384" s="7"/>
      <c r="AB384" s="7"/>
    </row>
    <row r="385" spans="1:28" ht="293" x14ac:dyDescent="0.15">
      <c r="A385">
        <f t="shared" si="1"/>
        <v>0</v>
      </c>
      <c r="B385" s="1" t="s">
        <v>1472</v>
      </c>
      <c r="C385" s="7" t="s">
        <v>1537</v>
      </c>
      <c r="D385" s="7" t="s">
        <v>1538</v>
      </c>
      <c r="E385" s="7" t="s">
        <v>1539</v>
      </c>
      <c r="F385" s="9" t="s">
        <v>235</v>
      </c>
      <c r="G385" s="1" t="s">
        <v>1540</v>
      </c>
      <c r="H385" s="10">
        <v>4</v>
      </c>
      <c r="I385" s="10">
        <v>4</v>
      </c>
      <c r="J385" s="10">
        <v>4</v>
      </c>
      <c r="K385" s="10">
        <v>4</v>
      </c>
      <c r="L385" s="10">
        <v>4</v>
      </c>
      <c r="M385" s="10">
        <v>4</v>
      </c>
      <c r="N385" s="10"/>
      <c r="O385" s="7">
        <v>5</v>
      </c>
      <c r="P385" s="7"/>
      <c r="Q385" s="7"/>
      <c r="AB385" s="7"/>
    </row>
    <row r="386" spans="1:28" ht="332" x14ac:dyDescent="0.15">
      <c r="A386">
        <f t="shared" si="1"/>
        <v>0</v>
      </c>
      <c r="B386" s="1" t="s">
        <v>1472</v>
      </c>
      <c r="C386" s="7" t="s">
        <v>1541</v>
      </c>
      <c r="D386" s="7" t="s">
        <v>1542</v>
      </c>
      <c r="E386" s="7" t="s">
        <v>1543</v>
      </c>
      <c r="F386" s="9" t="s">
        <v>235</v>
      </c>
      <c r="G386" s="1" t="s">
        <v>1544</v>
      </c>
      <c r="H386" s="10"/>
      <c r="I386" s="10">
        <v>4</v>
      </c>
      <c r="J386" s="10"/>
      <c r="K386" s="10"/>
      <c r="L386" s="10">
        <v>4</v>
      </c>
      <c r="M386" s="10">
        <v>8</v>
      </c>
      <c r="N386" s="10"/>
      <c r="O386" s="7">
        <v>5</v>
      </c>
      <c r="P386" s="7"/>
      <c r="Q386" s="7"/>
      <c r="AB386" s="7"/>
    </row>
    <row r="387" spans="1:28" ht="182" x14ac:dyDescent="0.15">
      <c r="A387">
        <f t="shared" si="1"/>
        <v>0</v>
      </c>
      <c r="B387" s="16" t="s">
        <v>1472</v>
      </c>
      <c r="C387" s="16" t="s">
        <v>1545</v>
      </c>
      <c r="D387" s="16" t="s">
        <v>1546</v>
      </c>
      <c r="E387" s="16" t="s">
        <v>1547</v>
      </c>
      <c r="F387" s="24" t="s">
        <v>185</v>
      </c>
      <c r="G387" s="19" t="s">
        <v>1548</v>
      </c>
      <c r="H387" s="20"/>
      <c r="I387" s="20"/>
      <c r="J387" s="20"/>
      <c r="K387" s="20"/>
      <c r="L387" s="20"/>
      <c r="M387" s="20"/>
      <c r="N387" s="20"/>
      <c r="O387" s="21">
        <v>30</v>
      </c>
      <c r="P387" s="19"/>
      <c r="Q387" s="7"/>
      <c r="AB387" s="7"/>
    </row>
    <row r="388" spans="1:28" ht="210" x14ac:dyDescent="0.15">
      <c r="A388">
        <f t="shared" si="1"/>
        <v>0</v>
      </c>
      <c r="B388" s="1" t="s">
        <v>1472</v>
      </c>
      <c r="C388" s="7" t="s">
        <v>1549</v>
      </c>
      <c r="D388" s="7" t="s">
        <v>1550</v>
      </c>
      <c r="E388" s="7" t="s">
        <v>1551</v>
      </c>
      <c r="F388" s="9" t="s">
        <v>27</v>
      </c>
      <c r="G388" s="1" t="s">
        <v>242</v>
      </c>
      <c r="H388" s="10"/>
      <c r="I388" s="10">
        <v>6</v>
      </c>
      <c r="J388" s="10"/>
      <c r="K388" s="10"/>
      <c r="L388" s="10"/>
      <c r="M388" s="10">
        <v>6</v>
      </c>
      <c r="N388" s="10"/>
      <c r="O388" s="7">
        <v>10</v>
      </c>
      <c r="P388" s="7"/>
      <c r="Q388" s="7"/>
      <c r="AB388" s="7"/>
    </row>
    <row r="389" spans="1:28" ht="210" x14ac:dyDescent="0.15">
      <c r="A389">
        <f t="shared" si="1"/>
        <v>0</v>
      </c>
      <c r="B389" s="1" t="s">
        <v>1472</v>
      </c>
      <c r="C389" s="7" t="s">
        <v>1552</v>
      </c>
      <c r="D389" s="7" t="s">
        <v>1553</v>
      </c>
      <c r="E389" s="7" t="s">
        <v>1554</v>
      </c>
      <c r="F389" s="9" t="s">
        <v>235</v>
      </c>
      <c r="G389" s="1" t="s">
        <v>1555</v>
      </c>
      <c r="H389" s="10"/>
      <c r="I389" s="10"/>
      <c r="J389" s="10"/>
      <c r="K389" s="10">
        <v>4</v>
      </c>
      <c r="L389" s="10"/>
      <c r="M389" s="10">
        <v>4</v>
      </c>
      <c r="N389" s="10"/>
      <c r="O389" s="7">
        <v>5</v>
      </c>
      <c r="P389" s="7"/>
      <c r="Q389" s="7"/>
      <c r="AB389" s="7"/>
    </row>
    <row r="390" spans="1:28" ht="70" x14ac:dyDescent="0.15">
      <c r="A390">
        <f t="shared" si="1"/>
        <v>0</v>
      </c>
      <c r="B390" s="1" t="s">
        <v>1472</v>
      </c>
      <c r="C390" s="7" t="s">
        <v>1556</v>
      </c>
      <c r="D390" s="7" t="s">
        <v>1557</v>
      </c>
      <c r="E390" s="7" t="s">
        <v>1558</v>
      </c>
      <c r="F390" s="9" t="s">
        <v>389</v>
      </c>
      <c r="G390" s="1" t="s">
        <v>1559</v>
      </c>
      <c r="H390" s="10"/>
      <c r="I390" s="10"/>
      <c r="J390" s="10"/>
      <c r="K390" s="10"/>
      <c r="L390" s="10"/>
      <c r="M390" s="10"/>
      <c r="N390" s="10"/>
      <c r="O390" s="7">
        <v>60</v>
      </c>
      <c r="P390" s="7"/>
      <c r="Q390" s="7"/>
      <c r="AB390" s="7"/>
    </row>
    <row r="391" spans="1:28" ht="140" x14ac:dyDescent="0.15">
      <c r="A391">
        <f t="shared" si="1"/>
        <v>0</v>
      </c>
      <c r="B391" s="1" t="s">
        <v>1472</v>
      </c>
      <c r="C391" s="7" t="s">
        <v>1560</v>
      </c>
      <c r="D391" s="7" t="s">
        <v>1561</v>
      </c>
      <c r="E391" s="7" t="s">
        <v>1562</v>
      </c>
      <c r="F391" s="9" t="s">
        <v>235</v>
      </c>
      <c r="G391" s="1" t="s">
        <v>1563</v>
      </c>
      <c r="H391" s="10"/>
      <c r="I391" s="10">
        <v>6</v>
      </c>
      <c r="J391" s="10"/>
      <c r="K391" s="10"/>
      <c r="L391" s="10">
        <v>6</v>
      </c>
      <c r="M391" s="10">
        <v>6</v>
      </c>
      <c r="N391" s="10"/>
      <c r="O391" s="7">
        <v>5</v>
      </c>
      <c r="P391" s="7"/>
      <c r="Q391" s="7"/>
      <c r="AB391" s="7"/>
    </row>
    <row r="392" spans="1:28" ht="238" x14ac:dyDescent="0.15">
      <c r="A392">
        <f t="shared" si="1"/>
        <v>0</v>
      </c>
      <c r="B392" s="1" t="s">
        <v>1472</v>
      </c>
      <c r="C392" s="7" t="s">
        <v>1564</v>
      </c>
      <c r="D392" s="7" t="s">
        <v>1565</v>
      </c>
      <c r="E392" s="7" t="s">
        <v>1566</v>
      </c>
      <c r="F392" s="9" t="s">
        <v>235</v>
      </c>
      <c r="G392" s="1" t="s">
        <v>1567</v>
      </c>
      <c r="H392" s="10">
        <v>4</v>
      </c>
      <c r="I392" s="10"/>
      <c r="J392" s="10"/>
      <c r="K392" s="10"/>
      <c r="L392" s="10">
        <v>4</v>
      </c>
      <c r="M392" s="10">
        <v>4</v>
      </c>
      <c r="N392" s="10"/>
      <c r="O392" s="7">
        <v>5</v>
      </c>
      <c r="P392" s="7"/>
      <c r="Q392" s="7"/>
      <c r="AB392" s="7"/>
    </row>
    <row r="393" spans="1:28" ht="210" x14ac:dyDescent="0.15">
      <c r="A393">
        <f t="shared" si="1"/>
        <v>0</v>
      </c>
      <c r="B393" s="1" t="s">
        <v>1472</v>
      </c>
      <c r="C393" s="7" t="s">
        <v>1568</v>
      </c>
      <c r="D393" s="7" t="s">
        <v>1569</v>
      </c>
      <c r="E393" s="7" t="s">
        <v>1570</v>
      </c>
      <c r="F393" s="9" t="s">
        <v>235</v>
      </c>
      <c r="G393" s="1" t="s">
        <v>1571</v>
      </c>
      <c r="H393" s="10"/>
      <c r="I393" s="10"/>
      <c r="J393" s="10"/>
      <c r="K393" s="10">
        <v>4</v>
      </c>
      <c r="L393" s="10">
        <v>4</v>
      </c>
      <c r="M393" s="10">
        <v>4</v>
      </c>
      <c r="N393" s="10"/>
      <c r="O393" s="7">
        <v>5</v>
      </c>
      <c r="P393" s="7"/>
      <c r="Q393" s="7"/>
      <c r="AB393" s="7"/>
    </row>
    <row r="394" spans="1:28" ht="98" x14ac:dyDescent="0.15">
      <c r="A394">
        <f t="shared" si="1"/>
        <v>0</v>
      </c>
      <c r="B394" s="1" t="s">
        <v>1472</v>
      </c>
      <c r="C394" s="7" t="s">
        <v>1572</v>
      </c>
      <c r="D394" s="7" t="s">
        <v>1573</v>
      </c>
      <c r="E394" s="7" t="s">
        <v>1574</v>
      </c>
      <c r="F394" s="9" t="s">
        <v>235</v>
      </c>
      <c r="G394" s="1" t="s">
        <v>1575</v>
      </c>
      <c r="H394" s="10"/>
      <c r="I394" s="10">
        <v>4</v>
      </c>
      <c r="J394" s="10"/>
      <c r="K394" s="10"/>
      <c r="L394" s="10"/>
      <c r="M394" s="10">
        <v>4</v>
      </c>
      <c r="N394" s="10"/>
      <c r="O394" s="7">
        <v>5</v>
      </c>
      <c r="P394" s="7"/>
      <c r="Q394" s="7"/>
      <c r="AB394" s="7"/>
    </row>
    <row r="395" spans="1:28" ht="126" x14ac:dyDescent="0.15">
      <c r="A395">
        <f t="shared" si="1"/>
        <v>0</v>
      </c>
      <c r="B395" s="1" t="s">
        <v>1472</v>
      </c>
      <c r="C395" s="7" t="s">
        <v>1576</v>
      </c>
      <c r="D395" s="7" t="s">
        <v>1577</v>
      </c>
      <c r="E395" s="7" t="s">
        <v>1578</v>
      </c>
      <c r="F395" s="9" t="s">
        <v>235</v>
      </c>
      <c r="G395" s="1" t="s">
        <v>1579</v>
      </c>
      <c r="H395" s="10"/>
      <c r="I395" s="10">
        <v>4</v>
      </c>
      <c r="J395" s="10">
        <v>4</v>
      </c>
      <c r="K395" s="10"/>
      <c r="L395" s="10"/>
      <c r="M395" s="10">
        <v>4</v>
      </c>
      <c r="N395" s="10"/>
      <c r="O395" s="7">
        <v>5</v>
      </c>
      <c r="P395" s="7"/>
      <c r="Q395" s="7"/>
      <c r="AB395" s="7"/>
    </row>
    <row r="396" spans="1:28" ht="409.6" x14ac:dyDescent="0.15">
      <c r="A396">
        <f t="shared" si="1"/>
        <v>0</v>
      </c>
      <c r="B396" s="1" t="s">
        <v>1472</v>
      </c>
      <c r="C396" s="7" t="s">
        <v>1580</v>
      </c>
      <c r="D396" s="7" t="s">
        <v>1581</v>
      </c>
      <c r="E396" s="16" t="s">
        <v>1582</v>
      </c>
      <c r="F396" s="9" t="s">
        <v>360</v>
      </c>
      <c r="G396" s="1" t="s">
        <v>1583</v>
      </c>
      <c r="H396" s="10"/>
      <c r="I396" s="10">
        <v>8</v>
      </c>
      <c r="J396" s="10"/>
      <c r="K396" s="10"/>
      <c r="L396" s="10"/>
      <c r="M396" s="10">
        <v>8</v>
      </c>
      <c r="N396" s="10"/>
      <c r="O396" s="7">
        <v>25</v>
      </c>
      <c r="P396" s="7"/>
      <c r="Q396" s="7"/>
      <c r="AB396" s="7"/>
    </row>
    <row r="397" spans="1:28" ht="154" x14ac:dyDescent="0.15">
      <c r="A397">
        <f t="shared" si="1"/>
        <v>0</v>
      </c>
      <c r="B397" s="1" t="s">
        <v>1472</v>
      </c>
      <c r="C397" s="7" t="s">
        <v>1584</v>
      </c>
      <c r="D397" s="7" t="s">
        <v>1585</v>
      </c>
      <c r="E397" s="7" t="s">
        <v>1586</v>
      </c>
      <c r="F397" s="9" t="s">
        <v>235</v>
      </c>
      <c r="G397" s="1" t="s">
        <v>246</v>
      </c>
      <c r="H397" s="10"/>
      <c r="I397" s="10"/>
      <c r="J397" s="10"/>
      <c r="K397" s="10">
        <v>6</v>
      </c>
      <c r="L397" s="10"/>
      <c r="M397" s="10">
        <v>6</v>
      </c>
      <c r="N397" s="10"/>
      <c r="O397" s="7">
        <v>5</v>
      </c>
      <c r="P397" s="7"/>
      <c r="Q397" s="7"/>
      <c r="AB397" s="7"/>
    </row>
    <row r="398" spans="1:28" ht="112" x14ac:dyDescent="0.15">
      <c r="A398">
        <f t="shared" si="1"/>
        <v>0</v>
      </c>
      <c r="B398" s="1" t="s">
        <v>1472</v>
      </c>
      <c r="C398" s="7" t="s">
        <v>1587</v>
      </c>
      <c r="D398" s="7" t="s">
        <v>1588</v>
      </c>
      <c r="E398" s="7" t="s">
        <v>1589</v>
      </c>
      <c r="F398" s="9" t="s">
        <v>27</v>
      </c>
      <c r="G398" s="1" t="s">
        <v>1590</v>
      </c>
      <c r="H398" s="10"/>
      <c r="I398" s="10">
        <v>6</v>
      </c>
      <c r="J398" s="10">
        <v>6</v>
      </c>
      <c r="K398" s="10"/>
      <c r="L398" s="10"/>
      <c r="M398" s="10">
        <v>6</v>
      </c>
      <c r="N398" s="10"/>
      <c r="O398" s="7">
        <v>10</v>
      </c>
      <c r="P398" s="7"/>
      <c r="Q398" s="7"/>
      <c r="AB398" s="7"/>
    </row>
    <row r="399" spans="1:28" ht="84" x14ac:dyDescent="0.15">
      <c r="A399">
        <f t="shared" si="1"/>
        <v>0</v>
      </c>
      <c r="B399" s="1" t="s">
        <v>1472</v>
      </c>
      <c r="C399" s="7" t="s">
        <v>1591</v>
      </c>
      <c r="D399" s="7" t="s">
        <v>1592</v>
      </c>
      <c r="E399" s="7" t="s">
        <v>1593</v>
      </c>
      <c r="F399" s="9" t="s">
        <v>235</v>
      </c>
      <c r="G399" s="1" t="s">
        <v>1594</v>
      </c>
      <c r="H399" s="10">
        <v>4</v>
      </c>
      <c r="I399" s="10"/>
      <c r="J399" s="10"/>
      <c r="K399" s="10"/>
      <c r="L399" s="10"/>
      <c r="M399" s="10">
        <v>4</v>
      </c>
      <c r="N399" s="10"/>
      <c r="O399" s="7">
        <v>5</v>
      </c>
      <c r="P399" s="7"/>
      <c r="Q399" s="7"/>
      <c r="AB399" s="7"/>
    </row>
    <row r="400" spans="1:28" ht="409.6" x14ac:dyDescent="0.15">
      <c r="A400">
        <f t="shared" si="1"/>
        <v>0</v>
      </c>
      <c r="B400" s="1" t="s">
        <v>1472</v>
      </c>
      <c r="C400" s="7" t="s">
        <v>1595</v>
      </c>
      <c r="D400" s="7" t="s">
        <v>1596</v>
      </c>
      <c r="E400" s="7" t="s">
        <v>1597</v>
      </c>
      <c r="F400" s="9" t="s">
        <v>235</v>
      </c>
      <c r="G400" s="1" t="s">
        <v>1277</v>
      </c>
      <c r="H400" s="10"/>
      <c r="I400" s="10">
        <v>4</v>
      </c>
      <c r="J400" s="10"/>
      <c r="K400" s="10"/>
      <c r="L400" s="10"/>
      <c r="M400" s="10">
        <v>4</v>
      </c>
      <c r="N400" s="10"/>
      <c r="O400" s="7">
        <v>5</v>
      </c>
      <c r="P400" s="7"/>
      <c r="Q400" s="7"/>
      <c r="AB400" s="7"/>
    </row>
    <row r="401" spans="1:28" ht="140" x14ac:dyDescent="0.15">
      <c r="A401">
        <f t="shared" si="1"/>
        <v>0</v>
      </c>
      <c r="B401" s="1" t="s">
        <v>1472</v>
      </c>
      <c r="C401" s="7" t="s">
        <v>1598</v>
      </c>
      <c r="D401" s="7" t="s">
        <v>1599</v>
      </c>
      <c r="E401" s="7" t="s">
        <v>1600</v>
      </c>
      <c r="F401" s="9" t="s">
        <v>39</v>
      </c>
      <c r="G401" s="1" t="s">
        <v>1601</v>
      </c>
      <c r="H401" s="10"/>
      <c r="I401" s="10"/>
      <c r="J401" s="10">
        <v>6</v>
      </c>
      <c r="K401" s="10"/>
      <c r="L401" s="10"/>
      <c r="M401" s="10">
        <v>6</v>
      </c>
      <c r="N401" s="10"/>
      <c r="O401" s="7">
        <v>15</v>
      </c>
      <c r="P401" s="7"/>
      <c r="Q401" s="7"/>
      <c r="AB401" s="7"/>
    </row>
    <row r="402" spans="1:28" ht="266" x14ac:dyDescent="0.15">
      <c r="A402">
        <f t="shared" si="1"/>
        <v>0</v>
      </c>
      <c r="B402" s="1" t="s">
        <v>1472</v>
      </c>
      <c r="C402" s="7" t="s">
        <v>1602</v>
      </c>
      <c r="D402" s="7" t="s">
        <v>1603</v>
      </c>
      <c r="E402" s="7" t="s">
        <v>1604</v>
      </c>
      <c r="F402" s="9" t="s">
        <v>185</v>
      </c>
      <c r="G402" s="1" t="s">
        <v>535</v>
      </c>
      <c r="H402" s="10"/>
      <c r="I402" s="10"/>
      <c r="J402" s="10"/>
      <c r="K402" s="10">
        <v>12</v>
      </c>
      <c r="L402" s="10"/>
      <c r="M402" s="10">
        <v>12</v>
      </c>
      <c r="N402" s="10"/>
      <c r="O402" s="7">
        <v>30</v>
      </c>
      <c r="P402" s="7"/>
      <c r="Q402" s="7"/>
      <c r="AB402" s="7"/>
    </row>
    <row r="403" spans="1:28" ht="140" x14ac:dyDescent="0.15">
      <c r="A403">
        <f t="shared" si="1"/>
        <v>0</v>
      </c>
      <c r="B403" s="1" t="s">
        <v>1472</v>
      </c>
      <c r="C403" s="7" t="s">
        <v>1605</v>
      </c>
      <c r="D403" s="7" t="s">
        <v>1606</v>
      </c>
      <c r="E403" s="7" t="s">
        <v>1607</v>
      </c>
      <c r="F403" s="9" t="s">
        <v>235</v>
      </c>
      <c r="G403" s="1" t="s">
        <v>1608</v>
      </c>
      <c r="H403" s="10"/>
      <c r="I403" s="10">
        <v>2</v>
      </c>
      <c r="J403" s="10"/>
      <c r="K403" s="10"/>
      <c r="L403" s="10"/>
      <c r="M403" s="10">
        <v>2</v>
      </c>
      <c r="N403" s="10"/>
      <c r="O403" s="7">
        <v>5</v>
      </c>
      <c r="P403" s="7"/>
      <c r="Q403" s="7"/>
      <c r="AB403" s="7"/>
    </row>
    <row r="404" spans="1:28" ht="140" x14ac:dyDescent="0.15">
      <c r="A404">
        <f t="shared" si="1"/>
        <v>0</v>
      </c>
      <c r="B404" s="1" t="s">
        <v>1472</v>
      </c>
      <c r="C404" s="7" t="s">
        <v>1609</v>
      </c>
      <c r="D404" s="7" t="s">
        <v>1610</v>
      </c>
      <c r="E404" s="7" t="s">
        <v>1611</v>
      </c>
      <c r="F404" s="9" t="s">
        <v>27</v>
      </c>
      <c r="G404" s="1" t="s">
        <v>1612</v>
      </c>
      <c r="H404" s="10"/>
      <c r="I404" s="10">
        <v>4</v>
      </c>
      <c r="J404" s="10">
        <v>4</v>
      </c>
      <c r="K404" s="10"/>
      <c r="L404" s="10"/>
      <c r="M404" s="10">
        <v>4</v>
      </c>
      <c r="N404" s="10"/>
      <c r="O404" s="7">
        <v>10</v>
      </c>
      <c r="P404" s="7"/>
      <c r="Q404" s="7"/>
      <c r="AB404" s="7"/>
    </row>
    <row r="405" spans="1:28" ht="126" x14ac:dyDescent="0.15">
      <c r="A405">
        <f t="shared" si="1"/>
        <v>0</v>
      </c>
      <c r="B405" s="1" t="s">
        <v>1472</v>
      </c>
      <c r="C405" s="1" t="s">
        <v>1613</v>
      </c>
      <c r="D405" s="1" t="s">
        <v>1614</v>
      </c>
      <c r="E405" s="7" t="s">
        <v>1615</v>
      </c>
      <c r="F405" s="31" t="s">
        <v>39</v>
      </c>
      <c r="G405" s="1" t="s">
        <v>1616</v>
      </c>
      <c r="H405" s="10">
        <v>4</v>
      </c>
      <c r="I405" s="10">
        <v>6</v>
      </c>
      <c r="J405" s="10"/>
      <c r="K405" s="10"/>
      <c r="L405" s="10"/>
      <c r="M405" s="10">
        <v>6</v>
      </c>
      <c r="N405" s="10"/>
      <c r="O405" s="7">
        <v>15</v>
      </c>
      <c r="P405" s="7"/>
      <c r="Q405" s="7"/>
      <c r="AB405" s="7"/>
    </row>
    <row r="406" spans="1:28" ht="84" x14ac:dyDescent="0.15">
      <c r="A406">
        <f t="shared" si="1"/>
        <v>0</v>
      </c>
      <c r="B406" s="1" t="s">
        <v>302</v>
      </c>
      <c r="C406" s="7" t="s">
        <v>1617</v>
      </c>
      <c r="D406" s="7" t="s">
        <v>1618</v>
      </c>
      <c r="E406" s="7" t="s">
        <v>1619</v>
      </c>
      <c r="F406" s="9" t="s">
        <v>27</v>
      </c>
      <c r="G406" s="1" t="s">
        <v>904</v>
      </c>
      <c r="H406" s="10"/>
      <c r="I406" s="10">
        <v>8</v>
      </c>
      <c r="J406" s="10"/>
      <c r="K406" s="10">
        <v>8</v>
      </c>
      <c r="L406" s="10"/>
      <c r="M406" s="10">
        <v>8</v>
      </c>
      <c r="N406" s="10"/>
      <c r="O406" s="7">
        <v>10</v>
      </c>
      <c r="P406" s="7"/>
      <c r="Q406" s="7"/>
      <c r="AB406" s="7"/>
    </row>
    <row r="407" spans="1:28" ht="266" x14ac:dyDescent="0.15">
      <c r="A407">
        <f t="shared" si="1"/>
        <v>0</v>
      </c>
      <c r="B407" s="1" t="s">
        <v>1472</v>
      </c>
      <c r="C407" s="7" t="s">
        <v>1620</v>
      </c>
      <c r="D407" s="7" t="s">
        <v>1620</v>
      </c>
      <c r="E407" s="7" t="s">
        <v>1621</v>
      </c>
      <c r="F407" s="9" t="s">
        <v>112</v>
      </c>
      <c r="G407" s="1" t="s">
        <v>394</v>
      </c>
      <c r="H407" s="10"/>
      <c r="I407" s="10">
        <v>12</v>
      </c>
      <c r="J407" s="10"/>
      <c r="K407" s="10"/>
      <c r="L407" s="10"/>
      <c r="M407" s="10">
        <v>12</v>
      </c>
      <c r="N407" s="10"/>
      <c r="O407" s="7">
        <v>40</v>
      </c>
      <c r="P407" s="7"/>
      <c r="Q407" s="7"/>
      <c r="AB407" s="7"/>
    </row>
    <row r="408" spans="1:28" ht="126" x14ac:dyDescent="0.15">
      <c r="A408">
        <f t="shared" si="1"/>
        <v>0</v>
      </c>
      <c r="B408" s="1" t="s">
        <v>1472</v>
      </c>
      <c r="C408" s="7" t="s">
        <v>1622</v>
      </c>
      <c r="D408" s="7" t="s">
        <v>1623</v>
      </c>
      <c r="E408" s="7" t="s">
        <v>1624</v>
      </c>
      <c r="F408" s="9" t="s">
        <v>235</v>
      </c>
      <c r="G408" s="1" t="s">
        <v>1625</v>
      </c>
      <c r="H408" s="10"/>
      <c r="I408" s="10">
        <v>8</v>
      </c>
      <c r="J408" s="10">
        <v>4</v>
      </c>
      <c r="K408" s="10"/>
      <c r="L408" s="10"/>
      <c r="M408" s="10">
        <v>8</v>
      </c>
      <c r="N408" s="10"/>
      <c r="O408" s="7">
        <v>5</v>
      </c>
      <c r="P408" s="7"/>
      <c r="Q408" s="7"/>
      <c r="AB408" s="7"/>
    </row>
    <row r="409" spans="1:28" ht="224" x14ac:dyDescent="0.15">
      <c r="A409">
        <f t="shared" si="1"/>
        <v>0</v>
      </c>
      <c r="B409" s="1" t="s">
        <v>1472</v>
      </c>
      <c r="C409" s="7" t="s">
        <v>1626</v>
      </c>
      <c r="D409" s="25" t="s">
        <v>1627</v>
      </c>
      <c r="E409" s="32" t="s">
        <v>1628</v>
      </c>
      <c r="F409" s="9" t="s">
        <v>107</v>
      </c>
      <c r="G409" s="1" t="s">
        <v>1629</v>
      </c>
      <c r="H409" s="10"/>
      <c r="I409" s="10"/>
      <c r="J409" s="10">
        <v>8</v>
      </c>
      <c r="K409" s="10"/>
      <c r="L409" s="10">
        <v>4</v>
      </c>
      <c r="M409" s="10">
        <v>8</v>
      </c>
      <c r="N409" s="10"/>
      <c r="O409" s="7">
        <v>20</v>
      </c>
      <c r="P409" s="7"/>
      <c r="Q409" s="7"/>
      <c r="AB409" s="7"/>
    </row>
    <row r="410" spans="1:28" ht="280" x14ac:dyDescent="0.15">
      <c r="A410">
        <f t="shared" si="1"/>
        <v>0</v>
      </c>
      <c r="B410" s="1" t="s">
        <v>1472</v>
      </c>
      <c r="C410" s="7" t="s">
        <v>1630</v>
      </c>
      <c r="D410" s="7" t="s">
        <v>1631</v>
      </c>
      <c r="E410" s="7" t="s">
        <v>1632</v>
      </c>
      <c r="F410" s="9" t="s">
        <v>107</v>
      </c>
      <c r="G410" s="1" t="s">
        <v>402</v>
      </c>
      <c r="H410" s="10"/>
      <c r="I410" s="10">
        <v>4</v>
      </c>
      <c r="J410" s="10"/>
      <c r="K410" s="10"/>
      <c r="L410" s="10"/>
      <c r="M410" s="10">
        <v>4</v>
      </c>
      <c r="N410" s="10"/>
      <c r="O410" s="7">
        <v>20</v>
      </c>
      <c r="P410" s="7"/>
      <c r="Q410" s="7"/>
      <c r="AB410" s="7"/>
    </row>
    <row r="411" spans="1:28" ht="210" x14ac:dyDescent="0.15">
      <c r="A411">
        <f t="shared" si="1"/>
        <v>0</v>
      </c>
      <c r="B411" s="1" t="s">
        <v>1472</v>
      </c>
      <c r="C411" s="7" t="s">
        <v>1633</v>
      </c>
      <c r="D411" s="7" t="s">
        <v>1634</v>
      </c>
      <c r="E411" s="7" t="s">
        <v>1635</v>
      </c>
      <c r="F411" s="9" t="s">
        <v>39</v>
      </c>
      <c r="G411" s="1" t="s">
        <v>1636</v>
      </c>
      <c r="H411" s="10"/>
      <c r="I411" s="10"/>
      <c r="J411" s="10"/>
      <c r="K411" s="10">
        <v>8</v>
      </c>
      <c r="L411" s="10"/>
      <c r="M411" s="10">
        <v>8</v>
      </c>
      <c r="N411" s="10"/>
      <c r="O411" s="7">
        <v>15</v>
      </c>
      <c r="P411" s="7"/>
      <c r="Q411" s="7"/>
      <c r="AB411" s="7"/>
    </row>
    <row r="412" spans="1:28" ht="98" x14ac:dyDescent="0.15">
      <c r="A412">
        <f t="shared" si="1"/>
        <v>0</v>
      </c>
      <c r="B412" s="1" t="s">
        <v>1472</v>
      </c>
      <c r="C412" s="7" t="s">
        <v>1637</v>
      </c>
      <c r="D412" s="7" t="s">
        <v>1638</v>
      </c>
      <c r="E412" s="7" t="s">
        <v>1639</v>
      </c>
      <c r="F412" s="9" t="s">
        <v>235</v>
      </c>
      <c r="G412" s="1" t="s">
        <v>1640</v>
      </c>
      <c r="H412" s="10"/>
      <c r="I412" s="10"/>
      <c r="J412" s="10"/>
      <c r="K412" s="10"/>
      <c r="L412" s="10">
        <v>4</v>
      </c>
      <c r="M412" s="10">
        <v>4</v>
      </c>
      <c r="N412" s="10"/>
      <c r="O412" s="7">
        <v>5</v>
      </c>
      <c r="P412" s="7"/>
      <c r="Q412" s="7"/>
      <c r="AB412" s="7"/>
    </row>
    <row r="413" spans="1:28" ht="84" x14ac:dyDescent="0.15">
      <c r="A413">
        <f t="shared" si="1"/>
        <v>0</v>
      </c>
      <c r="B413" s="1" t="s">
        <v>1472</v>
      </c>
      <c r="C413" s="7" t="s">
        <v>1641</v>
      </c>
      <c r="D413" s="7" t="s">
        <v>1592</v>
      </c>
      <c r="E413" s="7" t="s">
        <v>1642</v>
      </c>
      <c r="F413" s="9" t="s">
        <v>235</v>
      </c>
      <c r="G413" s="1" t="s">
        <v>888</v>
      </c>
      <c r="H413" s="10"/>
      <c r="I413" s="10"/>
      <c r="J413" s="10"/>
      <c r="K413" s="10"/>
      <c r="L413" s="10">
        <v>4</v>
      </c>
      <c r="M413" s="10">
        <v>4</v>
      </c>
      <c r="N413" s="10"/>
      <c r="O413" s="7">
        <v>5</v>
      </c>
      <c r="P413" s="7"/>
      <c r="Q413" s="7"/>
      <c r="AB413" s="7"/>
    </row>
    <row r="414" spans="1:28" ht="182" x14ac:dyDescent="0.15">
      <c r="A414">
        <f t="shared" si="1"/>
        <v>0</v>
      </c>
      <c r="B414" s="1" t="s">
        <v>1472</v>
      </c>
      <c r="C414" s="7" t="s">
        <v>1643</v>
      </c>
      <c r="D414" s="7" t="s">
        <v>1644</v>
      </c>
      <c r="E414" s="7" t="s">
        <v>1645</v>
      </c>
      <c r="F414" s="9" t="s">
        <v>235</v>
      </c>
      <c r="G414" s="1" t="s">
        <v>1646</v>
      </c>
      <c r="H414" s="10">
        <v>4</v>
      </c>
      <c r="I414" s="10">
        <v>4</v>
      </c>
      <c r="J414" s="10"/>
      <c r="K414" s="10"/>
      <c r="L414" s="10">
        <v>4</v>
      </c>
      <c r="M414" s="10">
        <v>4</v>
      </c>
      <c r="N414" s="10"/>
      <c r="O414" s="7">
        <v>5</v>
      </c>
      <c r="P414" s="7"/>
      <c r="Q414" s="7"/>
      <c r="AB414" s="7"/>
    </row>
    <row r="415" spans="1:28" ht="126" x14ac:dyDescent="0.15">
      <c r="A415">
        <f t="shared" si="1"/>
        <v>0</v>
      </c>
      <c r="B415" s="1" t="s">
        <v>1472</v>
      </c>
      <c r="C415" s="7" t="s">
        <v>1647</v>
      </c>
      <c r="D415" s="7" t="s">
        <v>1648</v>
      </c>
      <c r="E415" s="7" t="s">
        <v>1649</v>
      </c>
      <c r="F415" s="9" t="s">
        <v>235</v>
      </c>
      <c r="G415" s="1" t="s">
        <v>242</v>
      </c>
      <c r="H415" s="10"/>
      <c r="I415" s="10">
        <v>2</v>
      </c>
      <c r="J415" s="10"/>
      <c r="K415" s="10"/>
      <c r="L415" s="10"/>
      <c r="M415" s="10">
        <v>2</v>
      </c>
      <c r="N415" s="10"/>
      <c r="O415" s="7">
        <v>5</v>
      </c>
      <c r="P415" s="7"/>
      <c r="Q415" s="7"/>
      <c r="AB415" s="7"/>
    </row>
    <row r="416" spans="1:28" ht="98" x14ac:dyDescent="0.15">
      <c r="A416">
        <f t="shared" si="1"/>
        <v>0</v>
      </c>
      <c r="B416" s="1" t="s">
        <v>1472</v>
      </c>
      <c r="C416" s="7" t="s">
        <v>1650</v>
      </c>
      <c r="D416" s="7" t="s">
        <v>1651</v>
      </c>
      <c r="E416" s="7" t="s">
        <v>1652</v>
      </c>
      <c r="F416" s="9" t="s">
        <v>235</v>
      </c>
      <c r="G416" s="1" t="s">
        <v>1653</v>
      </c>
      <c r="H416" s="10"/>
      <c r="I416" s="10"/>
      <c r="J416" s="10">
        <v>4</v>
      </c>
      <c r="K416" s="10"/>
      <c r="L416" s="10"/>
      <c r="M416" s="10">
        <v>4</v>
      </c>
      <c r="N416" s="10"/>
      <c r="O416" s="7">
        <v>5</v>
      </c>
      <c r="P416" s="7"/>
      <c r="Q416" s="7"/>
      <c r="AB416" s="7"/>
    </row>
    <row r="417" spans="1:28" ht="126" x14ac:dyDescent="0.15">
      <c r="A417">
        <f t="shared" si="1"/>
        <v>0</v>
      </c>
      <c r="B417" s="1" t="s">
        <v>1472</v>
      </c>
      <c r="C417" s="7" t="s">
        <v>1654</v>
      </c>
      <c r="D417" s="7" t="s">
        <v>1655</v>
      </c>
      <c r="E417" s="7" t="s">
        <v>1656</v>
      </c>
      <c r="F417" s="9" t="s">
        <v>27</v>
      </c>
      <c r="G417" s="1" t="s">
        <v>1657</v>
      </c>
      <c r="H417" s="10">
        <v>6</v>
      </c>
      <c r="I417" s="10"/>
      <c r="J417" s="10"/>
      <c r="K417" s="10">
        <v>6</v>
      </c>
      <c r="L417" s="10">
        <v>6</v>
      </c>
      <c r="M417" s="10">
        <v>6</v>
      </c>
      <c r="N417" s="10"/>
      <c r="O417" s="7">
        <v>10</v>
      </c>
      <c r="P417" s="7"/>
      <c r="Q417" s="7"/>
      <c r="AB417" s="7"/>
    </row>
    <row r="418" spans="1:28" ht="252" x14ac:dyDescent="0.15">
      <c r="A418">
        <f t="shared" si="1"/>
        <v>0</v>
      </c>
      <c r="B418" s="1" t="s">
        <v>1472</v>
      </c>
      <c r="C418" s="7" t="s">
        <v>1658</v>
      </c>
      <c r="D418" s="7" t="s">
        <v>1659</v>
      </c>
      <c r="E418" s="7" t="s">
        <v>1660</v>
      </c>
      <c r="F418" s="9" t="s">
        <v>185</v>
      </c>
      <c r="G418" s="1" t="s">
        <v>394</v>
      </c>
      <c r="H418" s="10"/>
      <c r="I418" s="10">
        <v>14</v>
      </c>
      <c r="J418" s="10"/>
      <c r="K418" s="10"/>
      <c r="L418" s="10"/>
      <c r="M418" s="10">
        <v>14</v>
      </c>
      <c r="N418" s="10"/>
      <c r="O418" s="7">
        <v>30</v>
      </c>
      <c r="P418" s="7"/>
      <c r="Q418" s="7"/>
      <c r="AB418" s="7"/>
    </row>
    <row r="419" spans="1:28" ht="238" x14ac:dyDescent="0.15">
      <c r="A419">
        <f t="shared" si="1"/>
        <v>0</v>
      </c>
      <c r="B419" s="1" t="s">
        <v>1472</v>
      </c>
      <c r="C419" s="7" t="s">
        <v>1661</v>
      </c>
      <c r="D419" s="7" t="s">
        <v>1662</v>
      </c>
      <c r="E419" s="7" t="s">
        <v>1663</v>
      </c>
      <c r="F419" s="9" t="s">
        <v>27</v>
      </c>
      <c r="G419" s="1" t="s">
        <v>1664</v>
      </c>
      <c r="H419" s="10"/>
      <c r="I419" s="10">
        <v>8</v>
      </c>
      <c r="J419" s="10"/>
      <c r="K419" s="10"/>
      <c r="L419" s="10"/>
      <c r="M419" s="10">
        <v>8</v>
      </c>
      <c r="N419" s="10"/>
      <c r="O419" s="7">
        <v>10</v>
      </c>
      <c r="P419" s="7"/>
      <c r="Q419" s="7"/>
      <c r="AB419" s="7"/>
    </row>
    <row r="420" spans="1:28" ht="196" x14ac:dyDescent="0.15">
      <c r="A420">
        <f t="shared" si="1"/>
        <v>0</v>
      </c>
      <c r="B420" s="1" t="s">
        <v>1472</v>
      </c>
      <c r="C420" s="7" t="s">
        <v>1665</v>
      </c>
      <c r="D420" s="7" t="s">
        <v>1666</v>
      </c>
      <c r="E420" s="7" t="s">
        <v>1667</v>
      </c>
      <c r="F420" s="9" t="s">
        <v>107</v>
      </c>
      <c r="G420" s="1" t="s">
        <v>1668</v>
      </c>
      <c r="H420" s="10">
        <v>8</v>
      </c>
      <c r="I420" s="10">
        <v>8</v>
      </c>
      <c r="J420" s="10"/>
      <c r="K420" s="10"/>
      <c r="L420" s="10"/>
      <c r="M420" s="10">
        <v>8</v>
      </c>
      <c r="N420" s="10"/>
      <c r="O420" s="7">
        <v>20</v>
      </c>
      <c r="P420" s="7"/>
      <c r="Q420" s="7"/>
      <c r="AB420" s="7"/>
    </row>
    <row r="421" spans="1:28" ht="210" x14ac:dyDescent="0.15">
      <c r="A421">
        <f t="shared" si="1"/>
        <v>0</v>
      </c>
      <c r="B421" s="1" t="s">
        <v>1472</v>
      </c>
      <c r="C421" s="7" t="s">
        <v>1669</v>
      </c>
      <c r="D421" s="7" t="s">
        <v>1670</v>
      </c>
      <c r="E421" s="7" t="s">
        <v>1671</v>
      </c>
      <c r="F421" s="9" t="s">
        <v>235</v>
      </c>
      <c r="G421" s="1" t="s">
        <v>1672</v>
      </c>
      <c r="H421" s="10"/>
      <c r="I421" s="10">
        <v>6</v>
      </c>
      <c r="J421" s="10">
        <v>6</v>
      </c>
      <c r="K421" s="10"/>
      <c r="L421" s="10"/>
      <c r="M421" s="10">
        <v>6</v>
      </c>
      <c r="N421" s="10"/>
      <c r="O421" s="7">
        <v>5</v>
      </c>
      <c r="P421" s="7"/>
      <c r="Q421" s="7"/>
      <c r="AB421" s="7"/>
    </row>
    <row r="422" spans="1:28" ht="84" x14ac:dyDescent="0.15">
      <c r="A422">
        <f t="shared" si="1"/>
        <v>0</v>
      </c>
      <c r="B422" s="1" t="s">
        <v>1472</v>
      </c>
      <c r="C422" s="7" t="s">
        <v>1673</v>
      </c>
      <c r="D422" s="7" t="s">
        <v>1674</v>
      </c>
      <c r="E422" s="7" t="s">
        <v>1675</v>
      </c>
      <c r="F422" s="9" t="s">
        <v>50</v>
      </c>
      <c r="G422" s="1" t="s">
        <v>1676</v>
      </c>
      <c r="H422" s="10"/>
      <c r="I422" s="10"/>
      <c r="J422" s="10"/>
      <c r="K422" s="10"/>
      <c r="L422" s="10"/>
      <c r="M422" s="10"/>
      <c r="N422" s="10"/>
      <c r="O422" s="7">
        <v>100</v>
      </c>
      <c r="P422" s="7"/>
      <c r="Q422" s="7"/>
      <c r="AB422" s="7"/>
    </row>
    <row r="423" spans="1:28" ht="126" x14ac:dyDescent="0.15">
      <c r="A423">
        <f t="shared" si="1"/>
        <v>0</v>
      </c>
      <c r="B423" s="1" t="s">
        <v>1472</v>
      </c>
      <c r="C423" s="7" t="s">
        <v>1677</v>
      </c>
      <c r="D423" s="7" t="s">
        <v>1678</v>
      </c>
      <c r="E423" s="7" t="s">
        <v>1679</v>
      </c>
      <c r="F423" s="9" t="s">
        <v>39</v>
      </c>
      <c r="G423" s="1" t="s">
        <v>1664</v>
      </c>
      <c r="H423" s="10"/>
      <c r="I423" s="10">
        <v>6</v>
      </c>
      <c r="J423" s="10"/>
      <c r="K423" s="10">
        <v>4</v>
      </c>
      <c r="L423" s="10"/>
      <c r="M423" s="10">
        <v>6</v>
      </c>
      <c r="N423" s="10"/>
      <c r="O423" s="7">
        <v>15</v>
      </c>
      <c r="P423" s="7"/>
      <c r="Q423" s="7"/>
      <c r="AB423" s="7"/>
    </row>
    <row r="424" spans="1:28" ht="126" x14ac:dyDescent="0.15">
      <c r="A424">
        <f t="shared" si="1"/>
        <v>0</v>
      </c>
      <c r="B424" s="1" t="s">
        <v>1472</v>
      </c>
      <c r="C424" s="7" t="s">
        <v>1680</v>
      </c>
      <c r="D424" s="7" t="s">
        <v>1681</v>
      </c>
      <c r="E424" s="7" t="s">
        <v>1682</v>
      </c>
      <c r="F424" s="9" t="s">
        <v>39</v>
      </c>
      <c r="G424" s="1" t="s">
        <v>341</v>
      </c>
      <c r="H424" s="10">
        <v>4</v>
      </c>
      <c r="I424" s="10"/>
      <c r="J424" s="10"/>
      <c r="K424" s="10"/>
      <c r="L424" s="10"/>
      <c r="M424" s="10">
        <v>4</v>
      </c>
      <c r="N424" s="10"/>
      <c r="O424" s="7">
        <v>15</v>
      </c>
      <c r="P424" s="7"/>
      <c r="Q424" s="7"/>
      <c r="AB424" s="7"/>
    </row>
    <row r="425" spans="1:28" ht="154" x14ac:dyDescent="0.15">
      <c r="A425">
        <f t="shared" si="1"/>
        <v>0</v>
      </c>
      <c r="B425" s="1" t="s">
        <v>1472</v>
      </c>
      <c r="C425" s="7" t="s">
        <v>1683</v>
      </c>
      <c r="D425" s="7" t="s">
        <v>1684</v>
      </c>
      <c r="E425" s="7" t="s">
        <v>1685</v>
      </c>
      <c r="F425" s="9" t="s">
        <v>235</v>
      </c>
      <c r="G425" s="1" t="s">
        <v>1686</v>
      </c>
      <c r="H425" s="10">
        <v>6</v>
      </c>
      <c r="I425" s="10">
        <v>6</v>
      </c>
      <c r="J425" s="10"/>
      <c r="K425" s="10"/>
      <c r="L425" s="10">
        <v>6</v>
      </c>
      <c r="M425" s="10">
        <v>6</v>
      </c>
      <c r="N425" s="10"/>
      <c r="O425" s="7">
        <v>10</v>
      </c>
      <c r="P425" s="7"/>
      <c r="Q425" s="7"/>
      <c r="AB425" s="7"/>
    </row>
    <row r="426" spans="1:28" ht="293" x14ac:dyDescent="0.15">
      <c r="A426">
        <f t="shared" si="1"/>
        <v>0</v>
      </c>
      <c r="B426" s="1" t="s">
        <v>1472</v>
      </c>
      <c r="C426" s="7" t="s">
        <v>1687</v>
      </c>
      <c r="D426" s="7" t="s">
        <v>1688</v>
      </c>
      <c r="E426" s="7" t="s">
        <v>1689</v>
      </c>
      <c r="F426" s="9" t="s">
        <v>185</v>
      </c>
      <c r="G426" s="1" t="s">
        <v>414</v>
      </c>
      <c r="H426" s="10"/>
      <c r="I426" s="10"/>
      <c r="J426" s="10"/>
      <c r="K426" s="10"/>
      <c r="L426" s="10"/>
      <c r="M426" s="10"/>
      <c r="N426" s="10"/>
      <c r="O426" s="7">
        <v>30</v>
      </c>
      <c r="P426" s="7"/>
      <c r="Q426" s="7"/>
      <c r="AB426" s="7"/>
    </row>
    <row r="427" spans="1:28" ht="182" x14ac:dyDescent="0.15">
      <c r="A427">
        <f t="shared" si="1"/>
        <v>0</v>
      </c>
      <c r="B427" s="1" t="s">
        <v>1472</v>
      </c>
      <c r="C427" s="7" t="s">
        <v>1690</v>
      </c>
      <c r="D427" s="7" t="s">
        <v>1538</v>
      </c>
      <c r="E427" s="7" t="s">
        <v>1691</v>
      </c>
      <c r="F427" s="9" t="s">
        <v>27</v>
      </c>
      <c r="G427" s="1" t="s">
        <v>1692</v>
      </c>
      <c r="H427" s="10">
        <v>8</v>
      </c>
      <c r="I427" s="10">
        <v>8</v>
      </c>
      <c r="J427" s="10"/>
      <c r="K427" s="10"/>
      <c r="L427" s="10"/>
      <c r="M427" s="10">
        <v>8</v>
      </c>
      <c r="N427" s="10"/>
      <c r="O427" s="7">
        <v>10</v>
      </c>
      <c r="P427" s="7"/>
      <c r="Q427" s="7"/>
      <c r="AB427" s="7"/>
    </row>
    <row r="428" spans="1:28" ht="140" x14ac:dyDescent="0.15">
      <c r="A428">
        <f t="shared" si="1"/>
        <v>0</v>
      </c>
      <c r="B428" s="1" t="s">
        <v>1472</v>
      </c>
      <c r="C428" s="1" t="s">
        <v>1693</v>
      </c>
      <c r="D428" s="1" t="s">
        <v>1694</v>
      </c>
      <c r="E428" s="7" t="s">
        <v>1695</v>
      </c>
      <c r="F428" s="31" t="s">
        <v>107</v>
      </c>
      <c r="G428" s="1" t="s">
        <v>1696</v>
      </c>
      <c r="H428" s="10"/>
      <c r="I428" s="10">
        <v>6</v>
      </c>
      <c r="J428" s="10"/>
      <c r="K428" s="10">
        <v>12</v>
      </c>
      <c r="L428" s="10"/>
      <c r="M428" s="10">
        <v>12</v>
      </c>
      <c r="N428" s="10"/>
      <c r="O428" s="7">
        <v>20</v>
      </c>
      <c r="P428" s="7"/>
      <c r="Q428" s="7"/>
      <c r="AB428" s="7"/>
    </row>
    <row r="429" spans="1:28" ht="182" x14ac:dyDescent="0.15">
      <c r="A429">
        <f t="shared" si="1"/>
        <v>0</v>
      </c>
      <c r="B429" s="1" t="s">
        <v>1472</v>
      </c>
      <c r="C429" s="7" t="s">
        <v>1697</v>
      </c>
      <c r="D429" s="7" t="s">
        <v>1698</v>
      </c>
      <c r="E429" s="7" t="s">
        <v>1699</v>
      </c>
      <c r="F429" s="9" t="s">
        <v>39</v>
      </c>
      <c r="G429" s="1" t="s">
        <v>680</v>
      </c>
      <c r="H429" s="10">
        <v>12</v>
      </c>
      <c r="I429" s="10"/>
      <c r="J429" s="10"/>
      <c r="K429" s="10"/>
      <c r="L429" s="10"/>
      <c r="M429" s="10">
        <v>12</v>
      </c>
      <c r="N429" s="10"/>
      <c r="O429" s="7">
        <v>15</v>
      </c>
      <c r="P429" s="7"/>
      <c r="Q429" s="7"/>
      <c r="AB429" s="7"/>
    </row>
    <row r="430" spans="1:28" ht="84" x14ac:dyDescent="0.15">
      <c r="A430">
        <f t="shared" si="1"/>
        <v>0</v>
      </c>
      <c r="B430" s="1" t="s">
        <v>1472</v>
      </c>
      <c r="C430" s="7" t="s">
        <v>1700</v>
      </c>
      <c r="D430" s="7" t="s">
        <v>1701</v>
      </c>
      <c r="E430" s="7" t="s">
        <v>1702</v>
      </c>
      <c r="F430" s="9" t="s">
        <v>235</v>
      </c>
      <c r="G430" s="1" t="s">
        <v>1703</v>
      </c>
      <c r="H430" s="10"/>
      <c r="I430" s="10"/>
      <c r="J430" s="10"/>
      <c r="K430" s="10"/>
      <c r="L430" s="10"/>
      <c r="M430" s="10"/>
      <c r="N430" s="10"/>
      <c r="O430" s="7">
        <v>5</v>
      </c>
      <c r="P430" s="7"/>
      <c r="Q430" s="7"/>
      <c r="AB430" s="7"/>
    </row>
    <row r="431" spans="1:28" ht="84" x14ac:dyDescent="0.15">
      <c r="A431">
        <f t="shared" si="1"/>
        <v>0</v>
      </c>
      <c r="B431" s="1" t="s">
        <v>366</v>
      </c>
      <c r="C431" s="7" t="s">
        <v>1704</v>
      </c>
      <c r="D431" s="7" t="s">
        <v>1705</v>
      </c>
      <c r="E431" s="7" t="s">
        <v>1706</v>
      </c>
      <c r="F431" s="9" t="s">
        <v>107</v>
      </c>
      <c r="G431" s="1" t="s">
        <v>86</v>
      </c>
      <c r="H431" s="10">
        <v>5</v>
      </c>
      <c r="I431" s="10"/>
      <c r="J431" s="10"/>
      <c r="K431" s="10">
        <v>5</v>
      </c>
      <c r="L431" s="10"/>
      <c r="M431" s="10">
        <v>10</v>
      </c>
      <c r="N431" s="10"/>
      <c r="O431" s="7">
        <v>20</v>
      </c>
      <c r="P431" s="7"/>
      <c r="Q431" s="7"/>
      <c r="AB431" s="7"/>
    </row>
    <row r="432" spans="1:28" ht="70" x14ac:dyDescent="0.15">
      <c r="A432">
        <f t="shared" si="1"/>
        <v>0</v>
      </c>
      <c r="B432" s="1" t="s">
        <v>366</v>
      </c>
      <c r="C432" s="7" t="s">
        <v>1707</v>
      </c>
      <c r="D432" s="7" t="s">
        <v>1708</v>
      </c>
      <c r="E432" s="7" t="s">
        <v>1709</v>
      </c>
      <c r="F432" s="9" t="s">
        <v>112</v>
      </c>
      <c r="G432" s="1" t="s">
        <v>1710</v>
      </c>
      <c r="H432" s="10">
        <v>5</v>
      </c>
      <c r="I432" s="10">
        <v>5</v>
      </c>
      <c r="J432" s="10"/>
      <c r="K432" s="10"/>
      <c r="L432" s="10"/>
      <c r="M432" s="10">
        <v>10</v>
      </c>
      <c r="N432" s="10"/>
      <c r="O432" s="7">
        <v>40</v>
      </c>
      <c r="P432" s="7"/>
      <c r="Q432" s="7"/>
      <c r="AB432" s="7"/>
    </row>
    <row r="433" spans="1:31" ht="56" x14ac:dyDescent="0.15">
      <c r="A433">
        <f t="shared" si="1"/>
        <v>0</v>
      </c>
      <c r="B433" s="1" t="s">
        <v>366</v>
      </c>
      <c r="C433" s="7" t="s">
        <v>1711</v>
      </c>
      <c r="D433" s="7" t="s">
        <v>1712</v>
      </c>
      <c r="E433" s="7" t="s">
        <v>1713</v>
      </c>
      <c r="F433" s="9" t="s">
        <v>235</v>
      </c>
      <c r="G433" s="1" t="s">
        <v>1714</v>
      </c>
      <c r="H433" s="10"/>
      <c r="I433" s="10">
        <v>4</v>
      </c>
      <c r="J433" s="10"/>
      <c r="K433" s="10"/>
      <c r="L433" s="10"/>
      <c r="M433" s="10">
        <v>4</v>
      </c>
      <c r="N433" s="10"/>
      <c r="O433" s="7">
        <v>5</v>
      </c>
      <c r="P433" s="7"/>
      <c r="Q433" s="7"/>
      <c r="AB433" s="7"/>
    </row>
    <row r="434" spans="1:31" ht="28" x14ac:dyDescent="0.15">
      <c r="A434">
        <f t="shared" si="1"/>
        <v>0</v>
      </c>
      <c r="B434" s="1" t="s">
        <v>366</v>
      </c>
      <c r="C434" s="7" t="s">
        <v>1715</v>
      </c>
      <c r="D434" s="7" t="s">
        <v>1716</v>
      </c>
      <c r="E434" s="7" t="s">
        <v>1717</v>
      </c>
      <c r="F434" s="9" t="s">
        <v>185</v>
      </c>
      <c r="G434" s="1" t="s">
        <v>1718</v>
      </c>
      <c r="H434" s="10"/>
      <c r="I434" s="10"/>
      <c r="J434" s="10">
        <v>8</v>
      </c>
      <c r="K434" s="10">
        <v>8</v>
      </c>
      <c r="L434" s="10"/>
      <c r="M434" s="10">
        <v>8</v>
      </c>
      <c r="N434" s="10"/>
      <c r="O434" s="7">
        <v>30</v>
      </c>
      <c r="P434" s="7"/>
      <c r="Q434" s="7"/>
      <c r="AB434" s="7"/>
    </row>
    <row r="435" spans="1:31" ht="56" x14ac:dyDescent="0.15">
      <c r="A435">
        <f t="shared" si="1"/>
        <v>0</v>
      </c>
      <c r="B435" s="1" t="s">
        <v>366</v>
      </c>
      <c r="C435" s="7" t="s">
        <v>1719</v>
      </c>
      <c r="D435" s="7" t="s">
        <v>1720</v>
      </c>
      <c r="E435" s="7" t="s">
        <v>1721</v>
      </c>
      <c r="F435" s="9" t="s">
        <v>558</v>
      </c>
      <c r="G435" s="1" t="s">
        <v>1722</v>
      </c>
      <c r="H435" s="10"/>
      <c r="I435" s="10">
        <v>8</v>
      </c>
      <c r="J435" s="10"/>
      <c r="K435" s="10">
        <v>8</v>
      </c>
      <c r="L435" s="10"/>
      <c r="M435" s="10">
        <v>8</v>
      </c>
      <c r="N435" s="10"/>
      <c r="O435" s="7">
        <v>10</v>
      </c>
      <c r="P435" s="7">
        <v>20</v>
      </c>
      <c r="Q435" s="7"/>
      <c r="AB435" s="7"/>
    </row>
    <row r="436" spans="1:31" ht="56" x14ac:dyDescent="0.15">
      <c r="A436">
        <f t="shared" si="1"/>
        <v>0</v>
      </c>
      <c r="B436" s="1" t="s">
        <v>366</v>
      </c>
      <c r="C436" s="7" t="s">
        <v>1723</v>
      </c>
      <c r="D436" s="7" t="s">
        <v>1724</v>
      </c>
      <c r="E436" s="7" t="s">
        <v>1725</v>
      </c>
      <c r="F436" s="9" t="s">
        <v>107</v>
      </c>
      <c r="G436" s="1" t="s">
        <v>1726</v>
      </c>
      <c r="H436" s="10"/>
      <c r="I436" s="10"/>
      <c r="J436" s="10"/>
      <c r="K436" s="10"/>
      <c r="L436" s="10"/>
      <c r="M436" s="10"/>
      <c r="N436" s="10"/>
      <c r="O436" s="7">
        <v>20</v>
      </c>
      <c r="P436" s="7"/>
      <c r="Q436" s="7"/>
      <c r="AB436" s="7"/>
    </row>
    <row r="437" spans="1:31" ht="70" x14ac:dyDescent="0.15">
      <c r="A437">
        <f t="shared" si="1"/>
        <v>0</v>
      </c>
      <c r="B437" s="1" t="s">
        <v>366</v>
      </c>
      <c r="C437" s="7" t="s">
        <v>1727</v>
      </c>
      <c r="D437" s="7" t="s">
        <v>1728</v>
      </c>
      <c r="E437" s="7" t="s">
        <v>1729</v>
      </c>
      <c r="F437" s="9" t="s">
        <v>27</v>
      </c>
      <c r="G437" s="1" t="s">
        <v>1730</v>
      </c>
      <c r="H437" s="10"/>
      <c r="I437" s="10">
        <v>8</v>
      </c>
      <c r="J437" s="10"/>
      <c r="K437" s="10"/>
      <c r="L437" s="10"/>
      <c r="M437" s="10">
        <v>8</v>
      </c>
      <c r="N437" s="10"/>
      <c r="O437" s="7">
        <v>10</v>
      </c>
      <c r="P437" s="7"/>
      <c r="Q437" s="7"/>
      <c r="AB437" s="7"/>
    </row>
    <row r="438" spans="1:31" ht="28" x14ac:dyDescent="0.15">
      <c r="A438">
        <f t="shared" si="1"/>
        <v>0</v>
      </c>
      <c r="B438" s="1" t="s">
        <v>366</v>
      </c>
      <c r="C438" s="7" t="s">
        <v>1731</v>
      </c>
      <c r="D438" s="7" t="s">
        <v>1732</v>
      </c>
      <c r="E438" s="7" t="s">
        <v>1733</v>
      </c>
      <c r="F438" s="9" t="s">
        <v>27</v>
      </c>
      <c r="G438" s="1" t="s">
        <v>1734</v>
      </c>
      <c r="H438" s="10"/>
      <c r="I438" s="10">
        <v>6</v>
      </c>
      <c r="J438" s="10">
        <v>6</v>
      </c>
      <c r="K438" s="10">
        <v>6</v>
      </c>
      <c r="L438" s="10"/>
      <c r="M438" s="10">
        <v>6</v>
      </c>
      <c r="N438" s="10"/>
      <c r="O438" s="7">
        <v>10</v>
      </c>
      <c r="P438" s="7"/>
      <c r="Q438" s="7"/>
      <c r="AB438" s="7"/>
    </row>
    <row r="439" spans="1:31" ht="56" x14ac:dyDescent="0.15">
      <c r="A439">
        <f t="shared" si="1"/>
        <v>0</v>
      </c>
      <c r="B439" s="1" t="s">
        <v>366</v>
      </c>
      <c r="C439" s="7" t="s">
        <v>1735</v>
      </c>
      <c r="D439" s="7" t="s">
        <v>1736</v>
      </c>
      <c r="E439" s="7" t="s">
        <v>1737</v>
      </c>
      <c r="F439" s="9" t="s">
        <v>235</v>
      </c>
      <c r="G439" s="1" t="s">
        <v>1040</v>
      </c>
      <c r="H439" s="10">
        <v>4</v>
      </c>
      <c r="I439" s="10"/>
      <c r="J439" s="10"/>
      <c r="K439" s="10">
        <v>4</v>
      </c>
      <c r="L439" s="10"/>
      <c r="M439" s="10">
        <v>4</v>
      </c>
      <c r="N439" s="10"/>
      <c r="O439" s="7">
        <v>5</v>
      </c>
      <c r="P439" s="7"/>
      <c r="Q439" s="7"/>
      <c r="AB439" s="7"/>
    </row>
    <row r="440" spans="1:31" ht="56" x14ac:dyDescent="0.15">
      <c r="A440">
        <f t="shared" si="1"/>
        <v>0</v>
      </c>
      <c r="B440" s="1" t="s">
        <v>366</v>
      </c>
      <c r="C440" s="7" t="s">
        <v>1738</v>
      </c>
      <c r="D440" s="7" t="s">
        <v>1739</v>
      </c>
      <c r="E440" s="7" t="s">
        <v>1740</v>
      </c>
      <c r="F440" s="9" t="s">
        <v>27</v>
      </c>
      <c r="G440" s="1" t="s">
        <v>1741</v>
      </c>
      <c r="H440" s="10">
        <v>10</v>
      </c>
      <c r="I440" s="10"/>
      <c r="J440" s="10"/>
      <c r="K440" s="10">
        <v>10</v>
      </c>
      <c r="L440" s="10">
        <v>10</v>
      </c>
      <c r="M440" s="10">
        <v>10</v>
      </c>
      <c r="N440" s="10"/>
      <c r="O440" s="7">
        <v>10</v>
      </c>
      <c r="P440" s="7"/>
      <c r="Q440" s="7"/>
      <c r="AB440" s="7"/>
    </row>
    <row r="441" spans="1:31" ht="70" x14ac:dyDescent="0.15">
      <c r="A441">
        <f t="shared" si="1"/>
        <v>0</v>
      </c>
      <c r="B441" s="1" t="s">
        <v>366</v>
      </c>
      <c r="C441" s="7" t="s">
        <v>1742</v>
      </c>
      <c r="D441" s="7" t="s">
        <v>1743</v>
      </c>
      <c r="E441" s="7" t="s">
        <v>1744</v>
      </c>
      <c r="F441" s="9" t="s">
        <v>112</v>
      </c>
      <c r="G441" s="1" t="s">
        <v>1745</v>
      </c>
      <c r="H441" s="10"/>
      <c r="I441" s="10"/>
      <c r="J441" s="10"/>
      <c r="K441" s="10"/>
      <c r="L441" s="10"/>
      <c r="M441" s="10"/>
      <c r="N441" s="10"/>
      <c r="O441" s="7">
        <v>40</v>
      </c>
      <c r="P441" s="7"/>
      <c r="Q441" s="7"/>
      <c r="AB441" s="7"/>
    </row>
    <row r="442" spans="1:31" ht="56" x14ac:dyDescent="0.15">
      <c r="A442">
        <f t="shared" si="1"/>
        <v>0</v>
      </c>
      <c r="B442" s="1" t="s">
        <v>366</v>
      </c>
      <c r="C442" s="7" t="s">
        <v>1746</v>
      </c>
      <c r="D442" s="7" t="s">
        <v>1747</v>
      </c>
      <c r="E442" s="7" t="s">
        <v>1748</v>
      </c>
      <c r="F442" s="9" t="s">
        <v>107</v>
      </c>
      <c r="G442" s="1" t="s">
        <v>1749</v>
      </c>
      <c r="H442" s="10"/>
      <c r="I442" s="10">
        <v>4</v>
      </c>
      <c r="J442" s="10"/>
      <c r="K442" s="10">
        <v>8</v>
      </c>
      <c r="L442" s="10"/>
      <c r="M442" s="10">
        <v>12</v>
      </c>
      <c r="N442" s="10"/>
      <c r="O442" s="7">
        <v>20</v>
      </c>
      <c r="P442" s="7"/>
      <c r="Q442" s="7"/>
      <c r="AB442" s="7"/>
    </row>
    <row r="443" spans="1:31" ht="14" x14ac:dyDescent="0.15">
      <c r="A443">
        <f t="shared" si="1"/>
        <v>0</v>
      </c>
      <c r="B443" s="1" t="s">
        <v>366</v>
      </c>
      <c r="C443" s="7" t="s">
        <v>1750</v>
      </c>
      <c r="D443" s="7" t="s">
        <v>1751</v>
      </c>
      <c r="E443" s="7" t="s">
        <v>1752</v>
      </c>
      <c r="F443" s="9" t="s">
        <v>169</v>
      </c>
      <c r="G443" s="1" t="s">
        <v>1322</v>
      </c>
      <c r="H443" s="10"/>
      <c r="I443" s="10"/>
      <c r="J443" s="10"/>
      <c r="K443" s="10"/>
      <c r="L443" s="10">
        <v>4</v>
      </c>
      <c r="M443" s="10">
        <v>4</v>
      </c>
      <c r="N443" s="10"/>
      <c r="O443" s="7">
        <v>5</v>
      </c>
      <c r="P443" s="7">
        <v>10</v>
      </c>
      <c r="Q443" s="7">
        <v>15</v>
      </c>
      <c r="R443" s="1">
        <v>20</v>
      </c>
      <c r="AB443" s="7"/>
    </row>
    <row r="444" spans="1:31" ht="332" x14ac:dyDescent="0.15">
      <c r="A444">
        <f t="shared" si="1"/>
        <v>0</v>
      </c>
      <c r="B444" s="1" t="s">
        <v>366</v>
      </c>
      <c r="C444" s="7" t="s">
        <v>1753</v>
      </c>
      <c r="D444" s="7" t="s">
        <v>1754</v>
      </c>
      <c r="E444" s="7" t="s">
        <v>1755</v>
      </c>
      <c r="F444" s="9" t="s">
        <v>235</v>
      </c>
      <c r="G444" s="1" t="s">
        <v>1756</v>
      </c>
      <c r="H444" s="10"/>
      <c r="I444" s="10"/>
      <c r="J444" s="10"/>
      <c r="K444" s="10"/>
      <c r="L444" s="10">
        <v>8</v>
      </c>
      <c r="M444" s="10">
        <v>8</v>
      </c>
      <c r="N444" s="10"/>
      <c r="O444" s="7">
        <v>5</v>
      </c>
      <c r="P444" s="7"/>
      <c r="Q444" s="7"/>
      <c r="AB444" s="7"/>
    </row>
    <row r="445" spans="1:31" ht="84" x14ac:dyDescent="0.15">
      <c r="A445">
        <f t="shared" si="1"/>
        <v>0</v>
      </c>
      <c r="B445" s="1" t="s">
        <v>366</v>
      </c>
      <c r="C445" s="7" t="s">
        <v>1757</v>
      </c>
      <c r="D445" s="7" t="s">
        <v>1758</v>
      </c>
      <c r="E445" s="7" t="s">
        <v>1759</v>
      </c>
      <c r="F445" s="9" t="s">
        <v>389</v>
      </c>
      <c r="G445" s="1" t="s">
        <v>1760</v>
      </c>
      <c r="H445" s="10"/>
      <c r="I445" s="10"/>
      <c r="J445" s="10"/>
      <c r="K445" s="10"/>
      <c r="L445" s="10"/>
      <c r="M445" s="10"/>
      <c r="N445" s="10"/>
      <c r="O445" s="7">
        <v>60</v>
      </c>
      <c r="P445" s="7"/>
      <c r="Q445" s="7"/>
      <c r="AB445" s="7"/>
    </row>
    <row r="446" spans="1:31" ht="56" x14ac:dyDescent="0.15">
      <c r="A446">
        <f t="shared" si="1"/>
        <v>0</v>
      </c>
      <c r="B446" s="1" t="s">
        <v>366</v>
      </c>
      <c r="C446" s="7" t="s">
        <v>1761</v>
      </c>
      <c r="D446" s="7" t="s">
        <v>1762</v>
      </c>
      <c r="E446" s="7" t="s">
        <v>1763</v>
      </c>
      <c r="F446" s="9" t="s">
        <v>39</v>
      </c>
      <c r="G446" s="1" t="s">
        <v>1764</v>
      </c>
      <c r="H446" s="10"/>
      <c r="I446" s="10"/>
      <c r="J446" s="10">
        <v>12</v>
      </c>
      <c r="K446" s="10"/>
      <c r="L446" s="10"/>
      <c r="M446" s="10">
        <v>12</v>
      </c>
      <c r="N446" s="10"/>
      <c r="O446" s="7">
        <v>15</v>
      </c>
      <c r="P446" s="7"/>
      <c r="Q446" s="7"/>
      <c r="AB446" s="7"/>
    </row>
    <row r="447" spans="1:31" ht="28" x14ac:dyDescent="0.15">
      <c r="A447">
        <f t="shared" si="1"/>
        <v>0</v>
      </c>
      <c r="B447" s="12" t="s">
        <v>366</v>
      </c>
      <c r="C447" s="13" t="s">
        <v>1765</v>
      </c>
      <c r="D447" s="13" t="s">
        <v>1766</v>
      </c>
      <c r="E447" s="13" t="s">
        <v>1767</v>
      </c>
      <c r="F447" s="14" t="s">
        <v>1768</v>
      </c>
      <c r="G447" s="12" t="s">
        <v>1769</v>
      </c>
      <c r="H447" s="15">
        <v>8</v>
      </c>
      <c r="I447" s="15"/>
      <c r="J447" s="15"/>
      <c r="K447" s="15"/>
      <c r="L447" s="15"/>
      <c r="M447" s="15">
        <v>8</v>
      </c>
      <c r="N447" s="15"/>
      <c r="O447" s="13">
        <v>20</v>
      </c>
      <c r="P447" s="13">
        <v>100</v>
      </c>
      <c r="Q447" s="13"/>
      <c r="R447" s="12"/>
      <c r="S447" s="12"/>
      <c r="T447" s="12"/>
      <c r="U447" s="12"/>
      <c r="V447" s="12"/>
      <c r="W447" s="12"/>
      <c r="X447" s="12"/>
      <c r="Y447" s="12"/>
      <c r="Z447" s="12"/>
      <c r="AA447" s="12"/>
      <c r="AB447" s="13"/>
      <c r="AC447" s="12"/>
      <c r="AD447" s="12"/>
      <c r="AE447" s="12"/>
    </row>
    <row r="448" spans="1:31" ht="56" x14ac:dyDescent="0.15">
      <c r="A448">
        <f t="shared" si="1"/>
        <v>0</v>
      </c>
      <c r="B448" s="1" t="s">
        <v>366</v>
      </c>
      <c r="C448" s="7" t="s">
        <v>1770</v>
      </c>
      <c r="D448" s="7" t="s">
        <v>1771</v>
      </c>
      <c r="E448" s="7" t="s">
        <v>1772</v>
      </c>
      <c r="F448" s="9" t="s">
        <v>127</v>
      </c>
      <c r="G448" s="1" t="s">
        <v>1773</v>
      </c>
      <c r="H448" s="10"/>
      <c r="I448" s="10"/>
      <c r="J448" s="10"/>
      <c r="K448" s="10"/>
      <c r="L448" s="10"/>
      <c r="M448" s="10"/>
      <c r="N448" s="10"/>
      <c r="O448" s="7">
        <v>50</v>
      </c>
      <c r="P448" s="7"/>
      <c r="Q448" s="7"/>
      <c r="AB448" s="7"/>
    </row>
    <row r="449" spans="1:28" ht="84" x14ac:dyDescent="0.15">
      <c r="A449">
        <f t="shared" si="1"/>
        <v>0</v>
      </c>
      <c r="B449" s="1" t="s">
        <v>366</v>
      </c>
      <c r="C449" s="7" t="s">
        <v>1774</v>
      </c>
      <c r="D449" s="7" t="s">
        <v>1775</v>
      </c>
      <c r="E449" s="7" t="s">
        <v>1776</v>
      </c>
      <c r="F449" s="9" t="s">
        <v>27</v>
      </c>
      <c r="G449" s="1" t="s">
        <v>1777</v>
      </c>
      <c r="H449" s="10">
        <v>12</v>
      </c>
      <c r="I449" s="10"/>
      <c r="J449" s="10">
        <v>12</v>
      </c>
      <c r="K449" s="10"/>
      <c r="L449" s="10"/>
      <c r="M449" s="10">
        <v>12</v>
      </c>
      <c r="N449" s="10"/>
      <c r="O449" s="7">
        <v>10</v>
      </c>
      <c r="P449" s="7"/>
      <c r="Q449" s="7"/>
      <c r="AB449" s="7"/>
    </row>
    <row r="450" spans="1:28" ht="126" x14ac:dyDescent="0.15">
      <c r="A450">
        <f t="shared" si="1"/>
        <v>0</v>
      </c>
      <c r="B450" s="1" t="s">
        <v>366</v>
      </c>
      <c r="C450" s="7" t="s">
        <v>1778</v>
      </c>
      <c r="D450" s="7" t="s">
        <v>1779</v>
      </c>
      <c r="E450" s="7" t="s">
        <v>1780</v>
      </c>
      <c r="F450" s="9" t="s">
        <v>235</v>
      </c>
      <c r="G450" s="1" t="s">
        <v>519</v>
      </c>
      <c r="H450" s="10">
        <v>6</v>
      </c>
      <c r="I450" s="10"/>
      <c r="J450" s="10"/>
      <c r="K450" s="10"/>
      <c r="L450" s="10"/>
      <c r="M450" s="10">
        <v>6</v>
      </c>
      <c r="N450" s="10"/>
      <c r="O450" s="7">
        <v>5</v>
      </c>
      <c r="P450" s="7"/>
      <c r="Q450" s="7"/>
      <c r="AB450" s="7"/>
    </row>
    <row r="451" spans="1:28" ht="98" x14ac:dyDescent="0.15">
      <c r="A451">
        <f t="shared" si="1"/>
        <v>0</v>
      </c>
      <c r="B451" s="1" t="s">
        <v>366</v>
      </c>
      <c r="C451" s="7" t="s">
        <v>1781</v>
      </c>
      <c r="D451" s="7" t="s">
        <v>1782</v>
      </c>
      <c r="E451" s="7" t="s">
        <v>1783</v>
      </c>
      <c r="F451" s="9" t="s">
        <v>360</v>
      </c>
      <c r="G451" s="1" t="s">
        <v>186</v>
      </c>
      <c r="H451" s="10">
        <v>8</v>
      </c>
      <c r="I451" s="10"/>
      <c r="J451" s="10"/>
      <c r="K451" s="10"/>
      <c r="L451" s="10"/>
      <c r="M451" s="10">
        <v>8</v>
      </c>
      <c r="N451" s="10"/>
      <c r="O451" s="7">
        <v>25</v>
      </c>
      <c r="P451" s="7"/>
      <c r="Q451" s="7"/>
      <c r="AB451" s="7"/>
    </row>
    <row r="452" spans="1:28" ht="196" x14ac:dyDescent="0.15">
      <c r="A452">
        <f t="shared" si="1"/>
        <v>0</v>
      </c>
      <c r="B452" s="1" t="s">
        <v>1784</v>
      </c>
      <c r="C452" s="7" t="s">
        <v>1785</v>
      </c>
      <c r="D452" s="7" t="s">
        <v>1786</v>
      </c>
      <c r="E452" s="7" t="s">
        <v>1787</v>
      </c>
      <c r="F452" s="9" t="s">
        <v>112</v>
      </c>
      <c r="G452" s="1" t="s">
        <v>1764</v>
      </c>
      <c r="H452" s="10"/>
      <c r="I452" s="10"/>
      <c r="J452" s="10">
        <v>12</v>
      </c>
      <c r="K452" s="10"/>
      <c r="L452" s="10"/>
      <c r="M452" s="10">
        <v>12</v>
      </c>
      <c r="N452" s="10"/>
      <c r="O452" s="7">
        <v>40</v>
      </c>
      <c r="P452" s="7"/>
      <c r="Q452" s="7"/>
      <c r="AB452" s="7"/>
    </row>
    <row r="453" spans="1:28" ht="252" x14ac:dyDescent="0.15">
      <c r="A453">
        <f t="shared" si="1"/>
        <v>1</v>
      </c>
      <c r="B453" s="1" t="s">
        <v>129</v>
      </c>
      <c r="C453" s="7" t="s">
        <v>1788</v>
      </c>
      <c r="D453" s="7" t="s">
        <v>1789</v>
      </c>
      <c r="E453" s="7" t="s">
        <v>1790</v>
      </c>
      <c r="F453" s="9"/>
      <c r="G453" s="1" t="s">
        <v>1791</v>
      </c>
      <c r="H453" s="10"/>
      <c r="I453" s="10"/>
      <c r="J453" s="10"/>
      <c r="K453" s="10"/>
      <c r="L453" s="10"/>
      <c r="M453" s="10"/>
      <c r="N453" s="10"/>
      <c r="O453" s="7"/>
      <c r="P453" s="7"/>
      <c r="Q453" s="7"/>
      <c r="AB453" s="7"/>
    </row>
    <row r="454" spans="1:28" ht="14" x14ac:dyDescent="0.15">
      <c r="A454">
        <f t="shared" si="1"/>
        <v>1</v>
      </c>
      <c r="B454" s="1" t="s">
        <v>129</v>
      </c>
      <c r="C454" s="7" t="s">
        <v>1792</v>
      </c>
      <c r="D454" s="7" t="s">
        <v>1793</v>
      </c>
      <c r="E454" s="7" t="s">
        <v>1794</v>
      </c>
      <c r="F454" s="9" t="s">
        <v>27</v>
      </c>
      <c r="H454" s="10"/>
      <c r="I454" s="10"/>
      <c r="J454" s="10">
        <v>8</v>
      </c>
      <c r="K454" s="10"/>
      <c r="L454" s="10">
        <v>8</v>
      </c>
      <c r="M454" s="10">
        <v>8</v>
      </c>
      <c r="N454" s="10"/>
      <c r="O454" s="7">
        <v>10</v>
      </c>
      <c r="P454" s="7"/>
      <c r="Q454" s="7"/>
      <c r="AB454" s="7"/>
    </row>
    <row r="455" spans="1:28" ht="42" x14ac:dyDescent="0.15">
      <c r="A455">
        <f t="shared" si="1"/>
        <v>1</v>
      </c>
      <c r="B455" s="1" t="s">
        <v>302</v>
      </c>
      <c r="C455" s="7" t="s">
        <v>1795</v>
      </c>
      <c r="D455" s="7" t="s">
        <v>1796</v>
      </c>
      <c r="E455" s="7" t="s">
        <v>1797</v>
      </c>
      <c r="F455" s="9" t="s">
        <v>112</v>
      </c>
      <c r="H455" s="10"/>
      <c r="I455" s="10"/>
      <c r="J455" s="10"/>
      <c r="K455" s="10"/>
      <c r="L455" s="10"/>
      <c r="M455" s="10"/>
      <c r="N455" s="10"/>
      <c r="O455" s="7">
        <v>40</v>
      </c>
      <c r="P455" s="7"/>
      <c r="Q455" s="7"/>
      <c r="AB455" s="7"/>
    </row>
    <row r="456" spans="1:28" ht="84" x14ac:dyDescent="0.15">
      <c r="A456">
        <f t="shared" si="1"/>
        <v>1</v>
      </c>
      <c r="B456" s="1" t="s">
        <v>302</v>
      </c>
      <c r="C456" s="7" t="s">
        <v>1798</v>
      </c>
      <c r="D456" s="7" t="s">
        <v>1799</v>
      </c>
      <c r="E456" s="7" t="s">
        <v>1800</v>
      </c>
      <c r="F456" s="9"/>
      <c r="G456" s="1" t="s">
        <v>7</v>
      </c>
      <c r="H456" s="10"/>
      <c r="I456" s="10"/>
      <c r="J456" s="10"/>
      <c r="K456" s="10"/>
      <c r="L456" s="10"/>
      <c r="M456" s="10"/>
      <c r="N456" s="10"/>
      <c r="O456" s="7"/>
      <c r="P456" s="7"/>
      <c r="Q456" s="7"/>
      <c r="AB456" s="7"/>
    </row>
    <row r="457" spans="1:28" ht="14" x14ac:dyDescent="0.15">
      <c r="A457">
        <f t="shared" si="1"/>
        <v>1</v>
      </c>
      <c r="B457" s="1" t="s">
        <v>302</v>
      </c>
      <c r="C457" s="7" t="s">
        <v>1801</v>
      </c>
      <c r="D457" s="7" t="s">
        <v>1802</v>
      </c>
      <c r="E457" s="7"/>
      <c r="F457" s="9" t="s">
        <v>235</v>
      </c>
      <c r="G457" s="1" t="s">
        <v>7</v>
      </c>
      <c r="H457" s="10"/>
      <c r="I457" s="10"/>
      <c r="J457" s="10"/>
      <c r="K457" s="10"/>
      <c r="L457" s="10"/>
      <c r="M457" s="10"/>
      <c r="N457" s="10"/>
      <c r="O457" s="7">
        <v>5</v>
      </c>
      <c r="P457" s="7"/>
      <c r="Q457" s="7"/>
      <c r="AB457" s="7"/>
    </row>
    <row r="458" spans="1:28" ht="56" x14ac:dyDescent="0.15">
      <c r="A458">
        <f t="shared" si="1"/>
        <v>1</v>
      </c>
      <c r="B458" s="1" t="s">
        <v>302</v>
      </c>
      <c r="C458" s="7" t="s">
        <v>1803</v>
      </c>
      <c r="D458" s="7" t="s">
        <v>1804</v>
      </c>
      <c r="E458" s="7" t="s">
        <v>1805</v>
      </c>
      <c r="F458" s="9" t="s">
        <v>112</v>
      </c>
      <c r="H458" s="10"/>
      <c r="I458" s="10"/>
      <c r="J458" s="10"/>
      <c r="K458" s="10"/>
      <c r="L458" s="10"/>
      <c r="M458" s="10"/>
      <c r="N458" s="10"/>
      <c r="O458" s="7">
        <v>40</v>
      </c>
      <c r="P458" s="7"/>
      <c r="Q458" s="7"/>
      <c r="AB458" s="7"/>
    </row>
    <row r="459" spans="1:28" ht="28" x14ac:dyDescent="0.15">
      <c r="A459">
        <f t="shared" si="1"/>
        <v>0</v>
      </c>
      <c r="B459" s="1" t="s">
        <v>302</v>
      </c>
      <c r="C459" s="7" t="s">
        <v>1806</v>
      </c>
      <c r="D459" s="7" t="s">
        <v>1807</v>
      </c>
      <c r="E459" s="7" t="s">
        <v>1807</v>
      </c>
      <c r="F459" s="9" t="s">
        <v>27</v>
      </c>
      <c r="G459" s="1" t="s">
        <v>1808</v>
      </c>
      <c r="H459" s="10"/>
      <c r="I459" s="10"/>
      <c r="J459" s="10"/>
      <c r="K459" s="10"/>
      <c r="L459" s="10"/>
      <c r="M459" s="10"/>
      <c r="N459" s="10"/>
      <c r="O459" s="7">
        <v>10</v>
      </c>
      <c r="P459" s="7"/>
      <c r="Q459" s="7"/>
      <c r="AB459" s="7"/>
    </row>
    <row r="460" spans="1:28" ht="84" x14ac:dyDescent="0.15">
      <c r="A460">
        <f t="shared" si="1"/>
        <v>1</v>
      </c>
      <c r="B460" s="16" t="s">
        <v>302</v>
      </c>
      <c r="C460" s="16" t="s">
        <v>1809</v>
      </c>
      <c r="D460" s="16" t="s">
        <v>1810</v>
      </c>
      <c r="E460" s="16" t="s">
        <v>1811</v>
      </c>
      <c r="F460" s="24" t="s">
        <v>235</v>
      </c>
      <c r="G460" s="33"/>
      <c r="H460" s="20"/>
      <c r="I460" s="20"/>
      <c r="J460" s="20"/>
      <c r="K460" s="20"/>
      <c r="L460" s="20"/>
      <c r="M460" s="20"/>
      <c r="N460" s="20"/>
      <c r="O460" s="21">
        <v>5</v>
      </c>
      <c r="P460" s="19"/>
      <c r="Q460" s="7"/>
      <c r="AB460" s="7"/>
    </row>
    <row r="461" spans="1:28" ht="56" x14ac:dyDescent="0.15">
      <c r="A461">
        <f t="shared" si="1"/>
        <v>1</v>
      </c>
      <c r="B461" s="1" t="s">
        <v>302</v>
      </c>
      <c r="C461" s="7" t="s">
        <v>1812</v>
      </c>
      <c r="D461" s="7" t="s">
        <v>1813</v>
      </c>
      <c r="E461" s="7" t="s">
        <v>1814</v>
      </c>
      <c r="F461" s="9" t="s">
        <v>107</v>
      </c>
      <c r="H461" s="10"/>
      <c r="I461" s="10"/>
      <c r="J461" s="10"/>
      <c r="K461" s="10"/>
      <c r="L461" s="10"/>
      <c r="M461" s="10"/>
      <c r="N461" s="10"/>
      <c r="O461" s="7">
        <v>20</v>
      </c>
      <c r="P461" s="7"/>
      <c r="Q461" s="7"/>
      <c r="AB461" s="7"/>
    </row>
    <row r="462" spans="1:28" ht="14" x14ac:dyDescent="0.15">
      <c r="A462">
        <f t="shared" si="1"/>
        <v>1</v>
      </c>
      <c r="B462" s="1" t="s">
        <v>921</v>
      </c>
      <c r="C462" s="7" t="s">
        <v>1815</v>
      </c>
      <c r="D462" s="7" t="s">
        <v>1816</v>
      </c>
      <c r="E462" s="7"/>
      <c r="F462" s="9" t="s">
        <v>107</v>
      </c>
      <c r="G462" s="1" t="s">
        <v>1817</v>
      </c>
      <c r="H462" s="10"/>
      <c r="I462" s="10"/>
      <c r="J462" s="10"/>
      <c r="K462" s="10">
        <v>2</v>
      </c>
      <c r="L462" s="10"/>
      <c r="M462" s="10">
        <v>2</v>
      </c>
      <c r="N462" s="10"/>
      <c r="O462" s="7">
        <v>20</v>
      </c>
      <c r="P462" s="7"/>
      <c r="Q462" s="7"/>
      <c r="AB462" s="7"/>
    </row>
    <row r="463" spans="1:28" ht="28" x14ac:dyDescent="0.15">
      <c r="A463">
        <f t="shared" si="1"/>
        <v>1</v>
      </c>
      <c r="B463" s="1" t="s">
        <v>921</v>
      </c>
      <c r="C463" s="7" t="s">
        <v>1818</v>
      </c>
      <c r="D463" s="7" t="s">
        <v>1819</v>
      </c>
      <c r="E463" s="7"/>
      <c r="F463" s="9" t="s">
        <v>235</v>
      </c>
      <c r="G463" s="1" t="s">
        <v>170</v>
      </c>
      <c r="H463" s="10"/>
      <c r="I463" s="10"/>
      <c r="J463" s="10"/>
      <c r="K463" s="10"/>
      <c r="L463" s="10"/>
      <c r="M463" s="10"/>
      <c r="N463" s="10"/>
      <c r="O463" s="7">
        <v>5</v>
      </c>
      <c r="P463" s="7"/>
      <c r="Q463" s="7"/>
      <c r="AB463" s="7"/>
    </row>
    <row r="464" spans="1:28" ht="28" x14ac:dyDescent="0.15">
      <c r="A464">
        <f t="shared" si="1"/>
        <v>1</v>
      </c>
      <c r="B464" s="1" t="s">
        <v>921</v>
      </c>
      <c r="C464" s="7" t="s">
        <v>1820</v>
      </c>
      <c r="D464" s="7" t="s">
        <v>1821</v>
      </c>
      <c r="E464" s="7"/>
      <c r="F464" s="9" t="s">
        <v>235</v>
      </c>
      <c r="G464" s="1" t="s">
        <v>1822</v>
      </c>
      <c r="H464" s="10">
        <v>4</v>
      </c>
      <c r="I464" s="10"/>
      <c r="J464" s="10"/>
      <c r="K464" s="10"/>
      <c r="L464" s="10">
        <v>4</v>
      </c>
      <c r="M464" s="10">
        <v>4</v>
      </c>
      <c r="N464" s="10"/>
      <c r="O464" s="7">
        <v>5</v>
      </c>
      <c r="P464" s="7"/>
      <c r="Q464" s="7"/>
      <c r="AB464" s="7"/>
    </row>
    <row r="465" spans="1:28" ht="140" x14ac:dyDescent="0.15">
      <c r="A465">
        <f t="shared" si="1"/>
        <v>1</v>
      </c>
      <c r="B465" s="16" t="s">
        <v>921</v>
      </c>
      <c r="C465" s="16" t="s">
        <v>1823</v>
      </c>
      <c r="D465" s="17" t="s">
        <v>1824</v>
      </c>
      <c r="E465" s="16" t="s">
        <v>1825</v>
      </c>
      <c r="F465" s="34" t="s">
        <v>1826</v>
      </c>
      <c r="G465" s="33"/>
      <c r="H465" s="20"/>
      <c r="I465" s="20"/>
      <c r="J465" s="20"/>
      <c r="K465" s="20"/>
      <c r="L465" s="20"/>
      <c r="M465" s="20"/>
      <c r="N465" s="20"/>
      <c r="O465" s="19">
        <v>5</v>
      </c>
      <c r="P465" s="19">
        <v>15</v>
      </c>
      <c r="Q465" s="7">
        <v>30</v>
      </c>
      <c r="R465" s="1">
        <v>50</v>
      </c>
      <c r="AB465" s="7"/>
    </row>
    <row r="466" spans="1:28" ht="14" x14ac:dyDescent="0.15">
      <c r="A466">
        <f t="shared" si="1"/>
        <v>1</v>
      </c>
      <c r="B466" s="1" t="s">
        <v>921</v>
      </c>
      <c r="C466" s="7" t="s">
        <v>1827</v>
      </c>
      <c r="D466" s="7" t="s">
        <v>1828</v>
      </c>
      <c r="E466" s="7"/>
      <c r="F466" s="9" t="s">
        <v>235</v>
      </c>
      <c r="G466" s="1" t="s">
        <v>488</v>
      </c>
      <c r="H466" s="10"/>
      <c r="I466" s="10"/>
      <c r="J466" s="10"/>
      <c r="K466" s="10"/>
      <c r="L466" s="10"/>
      <c r="M466" s="10"/>
      <c r="N466" s="10"/>
      <c r="O466" s="7">
        <v>5</v>
      </c>
      <c r="P466" s="7"/>
      <c r="Q466" s="7"/>
      <c r="AB466" s="7"/>
    </row>
    <row r="467" spans="1:28" ht="28" x14ac:dyDescent="0.15">
      <c r="A467">
        <f t="shared" si="1"/>
        <v>1</v>
      </c>
      <c r="B467" s="1" t="s">
        <v>921</v>
      </c>
      <c r="C467" s="7" t="s">
        <v>1829</v>
      </c>
      <c r="D467" s="7" t="s">
        <v>1830</v>
      </c>
      <c r="E467" s="7"/>
      <c r="F467" s="9" t="s">
        <v>1831</v>
      </c>
      <c r="G467" s="1" t="s">
        <v>1832</v>
      </c>
      <c r="H467" s="10"/>
      <c r="I467" s="10"/>
      <c r="J467" s="10"/>
      <c r="K467" s="10"/>
      <c r="L467" s="10">
        <v>2</v>
      </c>
      <c r="M467" s="10">
        <v>2</v>
      </c>
      <c r="N467" s="10"/>
      <c r="O467" s="7"/>
      <c r="P467" s="7"/>
      <c r="Q467" s="7"/>
      <c r="AB467" s="7"/>
    </row>
    <row r="468" spans="1:28" ht="42" x14ac:dyDescent="0.15">
      <c r="A468">
        <f t="shared" si="1"/>
        <v>1</v>
      </c>
      <c r="B468" s="1" t="s">
        <v>921</v>
      </c>
      <c r="C468" s="7" t="s">
        <v>1833</v>
      </c>
      <c r="D468" s="7" t="s">
        <v>1834</v>
      </c>
      <c r="E468" s="7" t="s">
        <v>1835</v>
      </c>
      <c r="F468" s="9" t="s">
        <v>235</v>
      </c>
      <c r="H468" s="10"/>
      <c r="I468" s="10"/>
      <c r="J468" s="10"/>
      <c r="K468" s="10"/>
      <c r="L468" s="10"/>
      <c r="M468" s="10"/>
      <c r="N468" s="10"/>
      <c r="O468" s="7"/>
      <c r="P468" s="7"/>
      <c r="Q468" s="7"/>
      <c r="AB468" s="7"/>
    </row>
    <row r="469" spans="1:28" ht="70" x14ac:dyDescent="0.15">
      <c r="A469">
        <f t="shared" si="1"/>
        <v>1</v>
      </c>
      <c r="B469" s="1" t="s">
        <v>921</v>
      </c>
      <c r="C469" s="7" t="s">
        <v>1836</v>
      </c>
      <c r="D469" s="7" t="s">
        <v>1837</v>
      </c>
      <c r="E469" s="7" t="s">
        <v>1838</v>
      </c>
      <c r="F469" s="9"/>
      <c r="G469" s="1" t="s">
        <v>1544</v>
      </c>
      <c r="H469" s="10"/>
      <c r="I469" s="10"/>
      <c r="J469" s="10"/>
      <c r="K469" s="10"/>
      <c r="L469" s="10"/>
      <c r="M469" s="10"/>
      <c r="N469" s="10"/>
      <c r="O469" s="7"/>
      <c r="P469" s="7"/>
      <c r="Q469" s="7"/>
      <c r="AB469" s="7"/>
    </row>
    <row r="470" spans="1:28" ht="28" x14ac:dyDescent="0.15">
      <c r="A470">
        <f t="shared" si="1"/>
        <v>1</v>
      </c>
      <c r="B470" s="1" t="s">
        <v>921</v>
      </c>
      <c r="C470" s="7" t="s">
        <v>1839</v>
      </c>
      <c r="D470" s="7" t="s">
        <v>1840</v>
      </c>
      <c r="E470" s="7" t="s">
        <v>1841</v>
      </c>
      <c r="F470" s="9"/>
      <c r="G470" s="1" t="s">
        <v>9</v>
      </c>
      <c r="H470" s="10"/>
      <c r="I470" s="10"/>
      <c r="J470" s="10"/>
      <c r="K470" s="10"/>
      <c r="L470" s="10"/>
      <c r="M470" s="10"/>
      <c r="N470" s="10"/>
      <c r="O470" s="7"/>
      <c r="P470" s="7"/>
      <c r="Q470" s="7"/>
      <c r="AB470" s="7"/>
    </row>
    <row r="471" spans="1:28" ht="28" x14ac:dyDescent="0.15">
      <c r="A471">
        <f t="shared" si="1"/>
        <v>1</v>
      </c>
      <c r="B471" s="1" t="s">
        <v>921</v>
      </c>
      <c r="C471" s="7" t="s">
        <v>1842</v>
      </c>
      <c r="D471" s="7" t="s">
        <v>1843</v>
      </c>
      <c r="E471" s="7" t="s">
        <v>1844</v>
      </c>
      <c r="F471" s="9"/>
      <c r="G471" s="1" t="s">
        <v>1517</v>
      </c>
      <c r="H471" s="10"/>
      <c r="I471" s="10"/>
      <c r="J471" s="10"/>
      <c r="K471" s="10"/>
      <c r="L471" s="10"/>
      <c r="M471" s="10"/>
      <c r="N471" s="10"/>
      <c r="O471" s="7"/>
      <c r="P471" s="7"/>
      <c r="Q471" s="7"/>
      <c r="AB471" s="7"/>
    </row>
    <row r="472" spans="1:28" ht="14" x14ac:dyDescent="0.15">
      <c r="A472">
        <f t="shared" si="1"/>
        <v>1</v>
      </c>
      <c r="B472" s="1" t="s">
        <v>308</v>
      </c>
      <c r="C472" s="7" t="s">
        <v>1845</v>
      </c>
      <c r="D472" s="7" t="s">
        <v>1846</v>
      </c>
      <c r="E472" s="7"/>
      <c r="F472" s="9" t="s">
        <v>107</v>
      </c>
      <c r="G472" s="1" t="s">
        <v>1847</v>
      </c>
      <c r="H472" s="10"/>
      <c r="I472" s="10">
        <v>6</v>
      </c>
      <c r="J472" s="10"/>
      <c r="K472" s="10">
        <v>6</v>
      </c>
      <c r="L472" s="10">
        <v>6</v>
      </c>
      <c r="M472" s="10">
        <v>12</v>
      </c>
      <c r="N472" s="10"/>
      <c r="O472" s="7">
        <v>20</v>
      </c>
      <c r="P472" s="7"/>
      <c r="Q472" s="7"/>
      <c r="AB472" s="7"/>
    </row>
    <row r="473" spans="1:28" ht="28" x14ac:dyDescent="0.15">
      <c r="A473">
        <f t="shared" si="1"/>
        <v>1</v>
      </c>
      <c r="B473" s="1" t="s">
        <v>1472</v>
      </c>
      <c r="C473" s="7" t="s">
        <v>1848</v>
      </c>
      <c r="D473" s="7" t="s">
        <v>1849</v>
      </c>
      <c r="E473" s="7"/>
      <c r="F473" s="9" t="s">
        <v>235</v>
      </c>
      <c r="G473" s="1" t="s">
        <v>1850</v>
      </c>
      <c r="H473" s="10"/>
      <c r="I473" s="10"/>
      <c r="J473" s="10"/>
      <c r="K473" s="10"/>
      <c r="L473" s="10"/>
      <c r="M473" s="10"/>
      <c r="N473" s="10"/>
      <c r="O473" s="7"/>
      <c r="P473" s="7"/>
      <c r="Q473" s="7"/>
      <c r="AB473" s="7"/>
    </row>
    <row r="474" spans="1:28" ht="14" x14ac:dyDescent="0.15">
      <c r="A474">
        <f t="shared" si="1"/>
        <v>1</v>
      </c>
      <c r="B474" s="1" t="s">
        <v>1472</v>
      </c>
      <c r="C474" s="7" t="s">
        <v>1851</v>
      </c>
      <c r="D474" s="7" t="s">
        <v>1852</v>
      </c>
      <c r="E474" s="7"/>
      <c r="F474" s="9" t="s">
        <v>39</v>
      </c>
      <c r="G474" s="1" t="s">
        <v>1853</v>
      </c>
      <c r="H474" s="10">
        <v>6</v>
      </c>
      <c r="I474" s="10">
        <v>6</v>
      </c>
      <c r="J474" s="10"/>
      <c r="K474" s="10"/>
      <c r="L474" s="10"/>
      <c r="M474" s="10">
        <v>6</v>
      </c>
      <c r="N474" s="10"/>
      <c r="O474" s="7">
        <v>15</v>
      </c>
      <c r="P474" s="7"/>
      <c r="Q474" s="7"/>
      <c r="AB474" s="7"/>
    </row>
    <row r="475" spans="1:28" ht="14" x14ac:dyDescent="0.15">
      <c r="A475">
        <f t="shared" si="1"/>
        <v>1</v>
      </c>
      <c r="B475" s="1" t="s">
        <v>1472</v>
      </c>
      <c r="C475" s="7" t="s">
        <v>1854</v>
      </c>
      <c r="D475" s="7" t="s">
        <v>1855</v>
      </c>
      <c r="E475" s="7" t="s">
        <v>1856</v>
      </c>
      <c r="F475" s="9"/>
      <c r="G475" s="1" t="s">
        <v>1857</v>
      </c>
      <c r="H475" s="10">
        <v>14</v>
      </c>
      <c r="I475" s="10"/>
      <c r="J475" s="10"/>
      <c r="K475" s="10"/>
      <c r="L475" s="10"/>
      <c r="M475" s="10">
        <v>14</v>
      </c>
      <c r="N475" s="10"/>
      <c r="O475" s="7"/>
      <c r="P475" s="7"/>
      <c r="Q475" s="7"/>
      <c r="AB475" s="7"/>
    </row>
    <row r="476" spans="1:28" ht="98" x14ac:dyDescent="0.15">
      <c r="A476">
        <f t="shared" si="1"/>
        <v>1</v>
      </c>
      <c r="B476" s="1" t="s">
        <v>1472</v>
      </c>
      <c r="C476" s="7" t="s">
        <v>1858</v>
      </c>
      <c r="D476" s="7" t="s">
        <v>1859</v>
      </c>
      <c r="E476" s="7" t="s">
        <v>1860</v>
      </c>
      <c r="F476" s="9" t="s">
        <v>27</v>
      </c>
      <c r="H476" s="10"/>
      <c r="I476" s="10">
        <v>12</v>
      </c>
      <c r="J476" s="10"/>
      <c r="K476" s="10">
        <v>12</v>
      </c>
      <c r="L476" s="10"/>
      <c r="M476" s="10">
        <v>18</v>
      </c>
      <c r="N476" s="10"/>
      <c r="O476" s="7">
        <v>10</v>
      </c>
      <c r="P476" s="7"/>
      <c r="Q476" s="7"/>
      <c r="AB476" s="7"/>
    </row>
    <row r="477" spans="1:28" ht="112" x14ac:dyDescent="0.15">
      <c r="A477">
        <f t="shared" si="1"/>
        <v>1</v>
      </c>
      <c r="B477" s="1" t="s">
        <v>1472</v>
      </c>
      <c r="C477" s="7" t="s">
        <v>1861</v>
      </c>
      <c r="D477" s="7" t="s">
        <v>1862</v>
      </c>
      <c r="E477" s="7" t="s">
        <v>1863</v>
      </c>
      <c r="F477" s="9"/>
      <c r="G477" s="1" t="s">
        <v>1850</v>
      </c>
      <c r="H477" s="10"/>
      <c r="I477" s="10"/>
      <c r="J477" s="10"/>
      <c r="K477" s="10"/>
      <c r="L477" s="10"/>
      <c r="M477" s="10"/>
      <c r="N477" s="10"/>
      <c r="O477" s="7"/>
      <c r="P477" s="7"/>
      <c r="Q477" s="7"/>
      <c r="AB477" s="7"/>
    </row>
    <row r="478" spans="1:28" ht="56" x14ac:dyDescent="0.15">
      <c r="A478">
        <f t="shared" si="1"/>
        <v>1</v>
      </c>
      <c r="B478" s="1" t="s">
        <v>1472</v>
      </c>
      <c r="C478" s="7" t="s">
        <v>1864</v>
      </c>
      <c r="D478" s="7" t="s">
        <v>1865</v>
      </c>
      <c r="E478" s="7" t="s">
        <v>1866</v>
      </c>
      <c r="F478" s="9"/>
      <c r="G478" s="1" t="s">
        <v>11</v>
      </c>
      <c r="H478" s="10"/>
      <c r="I478" s="10"/>
      <c r="J478" s="10"/>
      <c r="K478" s="10"/>
      <c r="L478" s="10">
        <v>6</v>
      </c>
      <c r="M478" s="10">
        <v>6</v>
      </c>
      <c r="N478" s="10"/>
      <c r="O478" s="7">
        <v>10</v>
      </c>
      <c r="P478" s="7"/>
      <c r="Q478" s="7"/>
      <c r="AB478" s="7"/>
    </row>
    <row r="479" spans="1:28" ht="70" x14ac:dyDescent="0.15">
      <c r="A479">
        <f t="shared" si="1"/>
        <v>1</v>
      </c>
      <c r="B479" s="1" t="s">
        <v>1472</v>
      </c>
      <c r="C479" s="7" t="s">
        <v>1867</v>
      </c>
      <c r="D479" s="7" t="s">
        <v>1868</v>
      </c>
      <c r="E479" s="7" t="s">
        <v>1869</v>
      </c>
      <c r="F479" s="9" t="s">
        <v>39</v>
      </c>
      <c r="H479" s="10"/>
      <c r="I479" s="10"/>
      <c r="J479" s="10"/>
      <c r="K479" s="10"/>
      <c r="L479" s="10">
        <v>8</v>
      </c>
      <c r="M479" s="10">
        <v>8</v>
      </c>
      <c r="N479" s="10"/>
      <c r="O479" s="7">
        <v>15</v>
      </c>
      <c r="P479" s="7"/>
      <c r="Q479" s="7"/>
      <c r="AB479" s="7"/>
    </row>
    <row r="480" spans="1:28" ht="28" x14ac:dyDescent="0.15">
      <c r="A480">
        <f t="shared" si="1"/>
        <v>1</v>
      </c>
      <c r="B480" s="1" t="s">
        <v>1472</v>
      </c>
      <c r="C480" s="7" t="s">
        <v>1870</v>
      </c>
      <c r="D480" s="7" t="s">
        <v>1871</v>
      </c>
      <c r="E480" s="7"/>
      <c r="F480" s="9" t="s">
        <v>27</v>
      </c>
      <c r="G480" s="1" t="s">
        <v>1636</v>
      </c>
      <c r="H480" s="10"/>
      <c r="I480" s="10"/>
      <c r="J480" s="10"/>
      <c r="K480" s="10">
        <v>8</v>
      </c>
      <c r="L480" s="10"/>
      <c r="M480" s="10">
        <v>8</v>
      </c>
      <c r="N480" s="10"/>
      <c r="O480" s="7">
        <v>10</v>
      </c>
      <c r="P480" s="7"/>
      <c r="Q480" s="7"/>
      <c r="AB480" s="7"/>
    </row>
    <row r="481" spans="1:28" ht="14" x14ac:dyDescent="0.15">
      <c r="A481">
        <f t="shared" si="1"/>
        <v>1</v>
      </c>
      <c r="B481" s="1" t="s">
        <v>1472</v>
      </c>
      <c r="C481" s="7" t="s">
        <v>1872</v>
      </c>
      <c r="D481" s="7" t="s">
        <v>1873</v>
      </c>
      <c r="E481" s="16"/>
      <c r="F481" s="9" t="s">
        <v>360</v>
      </c>
      <c r="G481" s="1" t="s">
        <v>10</v>
      </c>
      <c r="H481" s="10"/>
      <c r="I481" s="10"/>
      <c r="J481" s="10"/>
      <c r="K481" s="10"/>
      <c r="L481" s="10"/>
      <c r="M481" s="10"/>
      <c r="N481" s="10"/>
      <c r="O481" s="7">
        <v>25</v>
      </c>
      <c r="P481" s="7"/>
      <c r="Q481" s="7"/>
      <c r="AB481" s="7"/>
    </row>
    <row r="482" spans="1:28" ht="14" x14ac:dyDescent="0.15">
      <c r="A482">
        <f t="shared" si="1"/>
        <v>1</v>
      </c>
      <c r="B482" s="1" t="s">
        <v>1472</v>
      </c>
      <c r="C482" s="7" t="s">
        <v>1874</v>
      </c>
      <c r="D482" s="7" t="s">
        <v>1875</v>
      </c>
      <c r="E482" s="7" t="s">
        <v>1876</v>
      </c>
      <c r="F482" s="9"/>
      <c r="G482" s="1" t="s">
        <v>8</v>
      </c>
      <c r="H482" s="10"/>
      <c r="I482" s="10"/>
      <c r="J482" s="10"/>
      <c r="K482" s="10"/>
      <c r="L482" s="10"/>
      <c r="M482" s="10"/>
      <c r="N482" s="10"/>
      <c r="O482" s="7"/>
      <c r="P482" s="7"/>
      <c r="Q482" s="7"/>
      <c r="AB482" s="7"/>
    </row>
    <row r="483" spans="1:28" ht="28" x14ac:dyDescent="0.15">
      <c r="A483">
        <f t="shared" si="1"/>
        <v>1</v>
      </c>
      <c r="B483" s="1" t="s">
        <v>1472</v>
      </c>
      <c r="C483" s="7" t="s">
        <v>1877</v>
      </c>
      <c r="D483" s="7" t="s">
        <v>1878</v>
      </c>
      <c r="E483" s="7"/>
      <c r="F483" s="9" t="s">
        <v>27</v>
      </c>
      <c r="G483" s="1" t="s">
        <v>1517</v>
      </c>
      <c r="H483" s="10"/>
      <c r="I483" s="10"/>
      <c r="J483" s="10"/>
      <c r="K483" s="10"/>
      <c r="L483" s="10"/>
      <c r="M483" s="10"/>
      <c r="N483" s="10"/>
      <c r="O483" s="7"/>
      <c r="P483" s="7"/>
      <c r="Q483" s="7"/>
      <c r="AB483" s="7"/>
    </row>
    <row r="484" spans="1:28" ht="56" x14ac:dyDescent="0.15">
      <c r="A484">
        <f t="shared" si="1"/>
        <v>1</v>
      </c>
      <c r="B484" s="1" t="s">
        <v>1472</v>
      </c>
      <c r="C484" s="7" t="s">
        <v>1879</v>
      </c>
      <c r="D484" s="7" t="s">
        <v>1880</v>
      </c>
      <c r="E484" s="7"/>
      <c r="F484" s="9" t="s">
        <v>185</v>
      </c>
      <c r="G484" s="1" t="s">
        <v>1881</v>
      </c>
      <c r="H484" s="10"/>
      <c r="I484" s="10">
        <v>6</v>
      </c>
      <c r="J484" s="10"/>
      <c r="K484" s="10"/>
      <c r="L484" s="10"/>
      <c r="M484" s="10">
        <v>6</v>
      </c>
      <c r="N484" s="10"/>
      <c r="O484" s="7">
        <v>30</v>
      </c>
      <c r="P484" s="7"/>
      <c r="Q484" s="7"/>
      <c r="AB484" s="7"/>
    </row>
    <row r="485" spans="1:28" ht="98" x14ac:dyDescent="0.15">
      <c r="A485">
        <f t="shared" si="1"/>
        <v>1</v>
      </c>
      <c r="B485" s="1" t="s">
        <v>1472</v>
      </c>
      <c r="C485" s="7" t="s">
        <v>1882</v>
      </c>
      <c r="D485" s="7" t="s">
        <v>1883</v>
      </c>
      <c r="E485" s="7"/>
      <c r="F485" s="9" t="s">
        <v>107</v>
      </c>
      <c r="G485" s="1" t="s">
        <v>1884</v>
      </c>
      <c r="H485" s="10"/>
      <c r="I485" s="10">
        <v>4</v>
      </c>
      <c r="J485" s="10"/>
      <c r="K485" s="10">
        <v>6</v>
      </c>
      <c r="L485" s="10"/>
      <c r="M485" s="10">
        <v>6</v>
      </c>
      <c r="N485" s="10"/>
      <c r="O485" s="7">
        <v>20</v>
      </c>
      <c r="P485" s="7"/>
      <c r="Q485" s="7"/>
      <c r="AB485" s="7"/>
    </row>
    <row r="486" spans="1:28" ht="70" x14ac:dyDescent="0.15">
      <c r="A486">
        <f t="shared" si="1"/>
        <v>1</v>
      </c>
      <c r="B486" s="1" t="s">
        <v>1472</v>
      </c>
      <c r="C486" s="7" t="s">
        <v>1885</v>
      </c>
      <c r="D486" s="7" t="s">
        <v>1886</v>
      </c>
      <c r="E486" s="7"/>
      <c r="F486" s="9" t="s">
        <v>107</v>
      </c>
      <c r="G486" s="1" t="s">
        <v>1887</v>
      </c>
      <c r="H486" s="10"/>
      <c r="I486" s="10">
        <v>4</v>
      </c>
      <c r="J486" s="10"/>
      <c r="K486" s="10"/>
      <c r="L486" s="10">
        <v>6</v>
      </c>
      <c r="M486" s="10">
        <v>6</v>
      </c>
      <c r="N486" s="10"/>
      <c r="O486" s="7">
        <v>20</v>
      </c>
      <c r="P486" s="7"/>
      <c r="Q486" s="7"/>
      <c r="AB486" s="7"/>
    </row>
    <row r="487" spans="1:28" ht="14" x14ac:dyDescent="0.15">
      <c r="A487">
        <f t="shared" si="1"/>
        <v>2</v>
      </c>
      <c r="B487" s="1" t="s">
        <v>129</v>
      </c>
      <c r="C487" s="7" t="s">
        <v>1888</v>
      </c>
      <c r="D487" s="7"/>
      <c r="E487" s="7"/>
      <c r="F487" s="9" t="s">
        <v>50</v>
      </c>
      <c r="G487" s="1" t="s">
        <v>491</v>
      </c>
      <c r="H487" s="10"/>
      <c r="I487" s="10"/>
      <c r="J487" s="10"/>
      <c r="K487" s="10"/>
      <c r="L487" s="10"/>
      <c r="M487" s="10"/>
      <c r="N487" s="10"/>
      <c r="O487" s="7">
        <v>100</v>
      </c>
      <c r="P487" s="7"/>
      <c r="Q487" s="7"/>
      <c r="AB487" s="7"/>
    </row>
    <row r="488" spans="1:28" ht="14" x14ac:dyDescent="0.15">
      <c r="A488">
        <f t="shared" si="1"/>
        <v>2</v>
      </c>
      <c r="B488" s="1" t="s">
        <v>129</v>
      </c>
      <c r="C488" s="7" t="s">
        <v>1889</v>
      </c>
      <c r="D488" s="7" t="s">
        <v>1890</v>
      </c>
      <c r="E488" s="7"/>
      <c r="F488" s="9"/>
      <c r="G488" s="1" t="s">
        <v>1887</v>
      </c>
      <c r="H488" s="10"/>
      <c r="I488" s="10">
        <v>6</v>
      </c>
      <c r="J488" s="10"/>
      <c r="K488" s="10"/>
      <c r="L488" s="10">
        <v>6</v>
      </c>
      <c r="M488" s="10">
        <v>6</v>
      </c>
      <c r="N488" s="10"/>
      <c r="O488" s="7"/>
      <c r="P488" s="7"/>
      <c r="Q488" s="7"/>
      <c r="AB488" s="7"/>
    </row>
    <row r="489" spans="1:28" ht="28" x14ac:dyDescent="0.15">
      <c r="A489">
        <f t="shared" si="1"/>
        <v>2</v>
      </c>
      <c r="B489" s="1" t="s">
        <v>1891</v>
      </c>
      <c r="C489" s="7" t="s">
        <v>848</v>
      </c>
      <c r="D489" s="7" t="s">
        <v>1892</v>
      </c>
      <c r="E489" s="7"/>
      <c r="F489" s="9"/>
      <c r="G489" s="1" t="s">
        <v>1240</v>
      </c>
      <c r="H489" s="10"/>
      <c r="I489" s="10"/>
      <c r="J489" s="10"/>
      <c r="K489" s="10"/>
      <c r="L489" s="10">
        <v>4</v>
      </c>
      <c r="M489" s="10">
        <v>4</v>
      </c>
      <c r="N489" s="10"/>
      <c r="O489" s="7"/>
      <c r="P489" s="7"/>
      <c r="Q489" s="7"/>
      <c r="AB489" s="7"/>
    </row>
    <row r="490" spans="1:28" ht="14" x14ac:dyDescent="0.15">
      <c r="A490">
        <f t="shared" si="1"/>
        <v>2</v>
      </c>
      <c r="B490" s="1" t="s">
        <v>302</v>
      </c>
      <c r="C490" s="7" t="s">
        <v>1893</v>
      </c>
      <c r="D490" s="7" t="s">
        <v>1894</v>
      </c>
      <c r="E490" s="7"/>
      <c r="F490" s="9"/>
      <c r="G490" s="1" t="s">
        <v>9</v>
      </c>
      <c r="H490" s="10"/>
      <c r="I490" s="10"/>
      <c r="J490" s="10"/>
      <c r="K490" s="10"/>
      <c r="L490" s="10"/>
      <c r="M490" s="10"/>
      <c r="N490" s="10"/>
      <c r="O490" s="7"/>
      <c r="P490" s="7"/>
      <c r="Q490" s="7"/>
      <c r="AB490" s="7"/>
    </row>
    <row r="491" spans="1:28" ht="28" x14ac:dyDescent="0.15">
      <c r="A491">
        <f t="shared" si="1"/>
        <v>2</v>
      </c>
      <c r="B491" s="1" t="s">
        <v>302</v>
      </c>
      <c r="C491" s="7" t="s">
        <v>1895</v>
      </c>
      <c r="D491" s="7" t="s">
        <v>1896</v>
      </c>
      <c r="E491" s="7"/>
      <c r="F491" s="9"/>
      <c r="G491" s="1" t="s">
        <v>1897</v>
      </c>
      <c r="H491" s="10"/>
      <c r="I491" s="10"/>
      <c r="J491" s="10">
        <v>2</v>
      </c>
      <c r="K491" s="10">
        <v>2</v>
      </c>
      <c r="L491" s="10">
        <v>2</v>
      </c>
      <c r="M491" s="10">
        <v>2</v>
      </c>
      <c r="N491" s="10"/>
      <c r="O491" s="7"/>
      <c r="P491" s="7"/>
      <c r="Q491" s="7"/>
      <c r="AB491" s="7"/>
    </row>
    <row r="492" spans="1:28" ht="14" x14ac:dyDescent="0.15">
      <c r="A492">
        <f t="shared" si="1"/>
        <v>2</v>
      </c>
      <c r="B492" s="1" t="s">
        <v>302</v>
      </c>
      <c r="C492" s="7" t="s">
        <v>1898</v>
      </c>
      <c r="D492" s="7" t="s">
        <v>1899</v>
      </c>
      <c r="E492" s="7"/>
      <c r="F492" s="9"/>
      <c r="G492" s="1" t="s">
        <v>1900</v>
      </c>
      <c r="H492" s="10"/>
      <c r="I492" s="10"/>
      <c r="J492" s="10"/>
      <c r="K492" s="10"/>
      <c r="L492" s="10"/>
      <c r="M492" s="10"/>
      <c r="N492" s="10"/>
      <c r="O492" s="7"/>
      <c r="P492" s="7"/>
      <c r="Q492" s="7"/>
      <c r="AB492" s="7"/>
    </row>
    <row r="493" spans="1:28" ht="28" x14ac:dyDescent="0.15">
      <c r="A493">
        <f t="shared" si="1"/>
        <v>2</v>
      </c>
      <c r="B493" s="1" t="s">
        <v>302</v>
      </c>
      <c r="C493" s="7" t="s">
        <v>1901</v>
      </c>
      <c r="D493" s="7" t="s">
        <v>1902</v>
      </c>
      <c r="E493" s="7"/>
      <c r="F493" s="9"/>
      <c r="G493" s="1" t="s">
        <v>1903</v>
      </c>
      <c r="H493" s="10"/>
      <c r="I493" s="10"/>
      <c r="J493" s="10"/>
      <c r="K493" s="10"/>
      <c r="L493" s="10"/>
      <c r="M493" s="10"/>
      <c r="N493" s="10"/>
      <c r="O493" s="7"/>
      <c r="P493" s="7"/>
      <c r="Q493" s="7"/>
      <c r="AB493" s="7"/>
    </row>
    <row r="494" spans="1:28" ht="14" x14ac:dyDescent="0.15">
      <c r="A494">
        <f t="shared" si="1"/>
        <v>2</v>
      </c>
      <c r="B494" s="1" t="s">
        <v>302</v>
      </c>
      <c r="C494" s="7" t="s">
        <v>1904</v>
      </c>
      <c r="D494" s="7" t="s">
        <v>1905</v>
      </c>
      <c r="E494" s="7"/>
      <c r="F494" s="9"/>
      <c r="G494" s="1" t="s">
        <v>1906</v>
      </c>
      <c r="H494" s="10">
        <v>2</v>
      </c>
      <c r="I494" s="10"/>
      <c r="J494" s="10"/>
      <c r="K494" s="10"/>
      <c r="L494" s="10"/>
      <c r="M494" s="10">
        <v>2</v>
      </c>
      <c r="N494" s="10"/>
      <c r="O494" s="7"/>
      <c r="P494" s="7"/>
      <c r="Q494" s="7"/>
      <c r="AB494" s="7"/>
    </row>
    <row r="495" spans="1:28" ht="28" x14ac:dyDescent="0.15">
      <c r="A495">
        <f t="shared" si="1"/>
        <v>2</v>
      </c>
      <c r="B495" s="1" t="s">
        <v>302</v>
      </c>
      <c r="C495" s="7" t="s">
        <v>1907</v>
      </c>
      <c r="D495" s="7" t="s">
        <v>1908</v>
      </c>
      <c r="E495" s="7"/>
      <c r="F495" s="9"/>
      <c r="G495" s="1" t="s">
        <v>1909</v>
      </c>
      <c r="H495" s="10">
        <v>8</v>
      </c>
      <c r="I495" s="10"/>
      <c r="J495" s="10"/>
      <c r="K495" s="10"/>
      <c r="L495" s="10"/>
      <c r="M495" s="10">
        <v>8</v>
      </c>
      <c r="N495" s="10"/>
      <c r="O495" s="7"/>
      <c r="P495" s="7"/>
      <c r="Q495" s="7"/>
      <c r="AB495" s="7"/>
    </row>
    <row r="496" spans="1:28" ht="98" x14ac:dyDescent="0.15">
      <c r="A496">
        <f t="shared" si="1"/>
        <v>2</v>
      </c>
      <c r="B496" s="1" t="s">
        <v>302</v>
      </c>
      <c r="C496" s="7" t="s">
        <v>1910</v>
      </c>
      <c r="D496" s="7" t="s">
        <v>1911</v>
      </c>
      <c r="E496" s="7" t="s">
        <v>1912</v>
      </c>
      <c r="F496" s="9"/>
      <c r="H496" s="10"/>
      <c r="I496" s="10"/>
      <c r="J496" s="10"/>
      <c r="K496" s="10"/>
      <c r="L496" s="10"/>
      <c r="M496" s="10"/>
      <c r="N496" s="10"/>
      <c r="O496" s="7"/>
      <c r="P496" s="7"/>
      <c r="Q496" s="7"/>
      <c r="AB496" s="7"/>
    </row>
    <row r="497" spans="1:28" ht="14" x14ac:dyDescent="0.15">
      <c r="A497">
        <f t="shared" si="1"/>
        <v>2</v>
      </c>
      <c r="B497" s="1" t="s">
        <v>302</v>
      </c>
      <c r="C497" s="7" t="s">
        <v>1913</v>
      </c>
      <c r="D497" s="35" t="s">
        <v>1914</v>
      </c>
      <c r="E497" s="7"/>
      <c r="F497" s="9"/>
      <c r="G497" s="1" t="s">
        <v>8</v>
      </c>
      <c r="H497" s="10"/>
      <c r="I497" s="10"/>
      <c r="J497" s="10"/>
      <c r="K497" s="10"/>
      <c r="L497" s="10"/>
      <c r="M497" s="10"/>
      <c r="N497" s="10"/>
      <c r="O497" s="7"/>
      <c r="P497" s="7"/>
      <c r="Q497" s="7"/>
      <c r="AB497" s="7"/>
    </row>
    <row r="498" spans="1:28" ht="14" x14ac:dyDescent="0.15">
      <c r="A498">
        <f t="shared" si="1"/>
        <v>2</v>
      </c>
      <c r="B498" s="1" t="s">
        <v>302</v>
      </c>
      <c r="C498" s="7" t="s">
        <v>1915</v>
      </c>
      <c r="D498" s="7" t="s">
        <v>1916</v>
      </c>
      <c r="E498" s="7"/>
      <c r="F498" s="9"/>
      <c r="G498" s="1" t="s">
        <v>1917</v>
      </c>
      <c r="H498" s="10"/>
      <c r="I498" s="10">
        <v>4</v>
      </c>
      <c r="J498" s="10"/>
      <c r="K498" s="10"/>
      <c r="L498" s="10"/>
      <c r="M498" s="10">
        <v>4</v>
      </c>
      <c r="N498" s="10"/>
      <c r="O498" s="7"/>
      <c r="P498" s="7"/>
      <c r="Q498" s="7"/>
      <c r="AB498" s="7"/>
    </row>
    <row r="499" spans="1:28" ht="14" x14ac:dyDescent="0.15">
      <c r="A499">
        <f t="shared" si="1"/>
        <v>2</v>
      </c>
      <c r="B499" s="1" t="s">
        <v>302</v>
      </c>
      <c r="C499" s="7" t="s">
        <v>1918</v>
      </c>
      <c r="D499" s="7" t="s">
        <v>1919</v>
      </c>
      <c r="E499" s="7"/>
      <c r="F499" s="9"/>
      <c r="G499" s="1" t="s">
        <v>1920</v>
      </c>
      <c r="H499" s="10">
        <v>4</v>
      </c>
      <c r="I499" s="10"/>
      <c r="J499" s="10"/>
      <c r="K499" s="10"/>
      <c r="L499" s="10"/>
      <c r="M499" s="10">
        <v>4</v>
      </c>
      <c r="N499" s="10"/>
      <c r="O499" s="7"/>
      <c r="P499" s="7"/>
      <c r="Q499" s="7"/>
      <c r="AB499" s="7"/>
    </row>
    <row r="500" spans="1:28" ht="14" x14ac:dyDescent="0.15">
      <c r="A500">
        <f t="shared" si="1"/>
        <v>2</v>
      </c>
      <c r="B500" s="1" t="s">
        <v>302</v>
      </c>
      <c r="C500" s="7" t="s">
        <v>1921</v>
      </c>
      <c r="D500" s="7" t="s">
        <v>1922</v>
      </c>
      <c r="E500" s="7"/>
      <c r="F500" s="9"/>
      <c r="G500" s="1" t="s">
        <v>1923</v>
      </c>
      <c r="H500" s="10"/>
      <c r="I500" s="10"/>
      <c r="J500" s="10"/>
      <c r="K500" s="10"/>
      <c r="L500" s="10"/>
      <c r="M500" s="10"/>
      <c r="N500" s="10"/>
      <c r="O500" s="7"/>
      <c r="P500" s="7"/>
      <c r="Q500" s="7"/>
      <c r="AB500" s="7"/>
    </row>
    <row r="501" spans="1:28" ht="140" x14ac:dyDescent="0.15">
      <c r="A501">
        <f t="shared" si="1"/>
        <v>0</v>
      </c>
      <c r="B501" s="1" t="s">
        <v>302</v>
      </c>
      <c r="C501" s="7" t="s">
        <v>1924</v>
      </c>
      <c r="D501" s="7" t="s">
        <v>1925</v>
      </c>
      <c r="E501" s="7" t="s">
        <v>1926</v>
      </c>
      <c r="F501" s="9" t="s">
        <v>112</v>
      </c>
      <c r="G501" s="1" t="s">
        <v>1927</v>
      </c>
      <c r="H501" s="10"/>
      <c r="I501" s="10"/>
      <c r="J501" s="10"/>
      <c r="K501" s="10">
        <v>8</v>
      </c>
      <c r="L501" s="10"/>
      <c r="M501" s="10">
        <v>8</v>
      </c>
      <c r="N501" s="10"/>
      <c r="O501" s="7"/>
      <c r="P501" s="7"/>
      <c r="Q501" s="7"/>
      <c r="AB501" s="7"/>
    </row>
    <row r="502" spans="1:28" ht="28" x14ac:dyDescent="0.15">
      <c r="A502">
        <f t="shared" si="1"/>
        <v>2</v>
      </c>
      <c r="B502" s="1" t="s">
        <v>921</v>
      </c>
      <c r="C502" s="7" t="s">
        <v>1928</v>
      </c>
      <c r="D502" s="7" t="s">
        <v>1929</v>
      </c>
      <c r="E502" s="7"/>
      <c r="F502" s="9"/>
      <c r="G502" s="1" t="s">
        <v>1930</v>
      </c>
      <c r="H502" s="10"/>
      <c r="I502" s="10">
        <v>2</v>
      </c>
      <c r="J502" s="10"/>
      <c r="K502" s="10"/>
      <c r="L502" s="10">
        <v>2</v>
      </c>
      <c r="M502" s="10">
        <v>2</v>
      </c>
      <c r="N502" s="10"/>
      <c r="O502" s="7"/>
      <c r="P502" s="7"/>
      <c r="Q502" s="7"/>
      <c r="AB502" s="7"/>
    </row>
    <row r="503" spans="1:28" ht="14" x14ac:dyDescent="0.15">
      <c r="A503">
        <f t="shared" si="1"/>
        <v>2</v>
      </c>
      <c r="B503" s="1" t="s">
        <v>921</v>
      </c>
      <c r="C503" s="7" t="s">
        <v>1931</v>
      </c>
      <c r="D503" s="7" t="s">
        <v>1932</v>
      </c>
      <c r="E503" s="7"/>
      <c r="F503" s="9"/>
      <c r="G503" s="1" t="s">
        <v>1933</v>
      </c>
      <c r="H503" s="10"/>
      <c r="I503" s="10"/>
      <c r="J503" s="10"/>
      <c r="K503" s="10"/>
      <c r="L503" s="10"/>
      <c r="M503" s="10"/>
      <c r="N503" s="10"/>
      <c r="O503" s="7"/>
      <c r="P503" s="7"/>
      <c r="Q503" s="7"/>
      <c r="AB503" s="7"/>
    </row>
    <row r="504" spans="1:28" ht="28" x14ac:dyDescent="0.15">
      <c r="A504">
        <f t="shared" si="1"/>
        <v>2</v>
      </c>
      <c r="B504" s="1" t="s">
        <v>921</v>
      </c>
      <c r="C504" s="7" t="s">
        <v>1934</v>
      </c>
      <c r="D504" s="7" t="s">
        <v>1935</v>
      </c>
      <c r="E504" s="7"/>
      <c r="F504" s="9"/>
      <c r="G504" s="1" t="s">
        <v>1936</v>
      </c>
      <c r="H504" s="10">
        <v>4</v>
      </c>
      <c r="I504" s="10">
        <v>2</v>
      </c>
      <c r="J504" s="10"/>
      <c r="K504" s="10"/>
      <c r="L504" s="10"/>
      <c r="M504" s="10">
        <v>4</v>
      </c>
      <c r="N504" s="10"/>
      <c r="O504" s="7"/>
      <c r="P504" s="7"/>
      <c r="Q504" s="7"/>
      <c r="AB504" s="7"/>
    </row>
    <row r="505" spans="1:28" ht="98" x14ac:dyDescent="0.15">
      <c r="A505">
        <f t="shared" si="1"/>
        <v>2</v>
      </c>
      <c r="B505" s="1" t="s">
        <v>921</v>
      </c>
      <c r="C505" s="1" t="s">
        <v>1937</v>
      </c>
      <c r="D505" s="36" t="s">
        <v>1938</v>
      </c>
      <c r="E505" s="7" t="s">
        <v>1939</v>
      </c>
      <c r="F505" s="9"/>
      <c r="H505" s="10"/>
      <c r="I505" s="10"/>
      <c r="J505" s="10"/>
      <c r="K505" s="10"/>
      <c r="L505" s="10"/>
      <c r="M505" s="10"/>
      <c r="N505" s="10"/>
      <c r="O505" s="7"/>
      <c r="P505" s="7"/>
      <c r="Q505" s="7"/>
      <c r="AB505" s="7"/>
    </row>
    <row r="506" spans="1:28" ht="14" x14ac:dyDescent="0.15">
      <c r="A506">
        <f t="shared" si="1"/>
        <v>2</v>
      </c>
      <c r="B506" s="1" t="s">
        <v>921</v>
      </c>
      <c r="C506" s="7" t="s">
        <v>1940</v>
      </c>
      <c r="D506" s="7" t="s">
        <v>1941</v>
      </c>
      <c r="E506" s="7"/>
      <c r="F506" s="9"/>
      <c r="G506" s="1" t="s">
        <v>1942</v>
      </c>
      <c r="H506" s="10">
        <v>2</v>
      </c>
      <c r="I506" s="10"/>
      <c r="J506" s="10"/>
      <c r="K506" s="10">
        <v>2</v>
      </c>
      <c r="L506" s="10"/>
      <c r="M506" s="10">
        <v>2</v>
      </c>
      <c r="N506" s="10"/>
      <c r="O506" s="7"/>
      <c r="P506" s="7"/>
      <c r="Q506" s="7"/>
      <c r="AB506" s="7"/>
    </row>
    <row r="507" spans="1:28" ht="14" x14ac:dyDescent="0.15">
      <c r="A507">
        <f t="shared" si="1"/>
        <v>2</v>
      </c>
      <c r="B507" s="1" t="s">
        <v>921</v>
      </c>
      <c r="C507" s="7" t="s">
        <v>1943</v>
      </c>
      <c r="D507" s="35" t="s">
        <v>1944</v>
      </c>
      <c r="E507" s="7"/>
      <c r="F507" s="9"/>
      <c r="G507" s="1" t="s">
        <v>8</v>
      </c>
      <c r="H507" s="10"/>
      <c r="I507" s="10"/>
      <c r="J507" s="10"/>
      <c r="K507" s="10"/>
      <c r="L507" s="10"/>
      <c r="M507" s="10"/>
      <c r="N507" s="10"/>
      <c r="O507" s="7"/>
      <c r="P507" s="7"/>
      <c r="Q507" s="7"/>
      <c r="AB507" s="7"/>
    </row>
    <row r="508" spans="1:28" ht="196" x14ac:dyDescent="0.15">
      <c r="A508">
        <f t="shared" si="1"/>
        <v>2</v>
      </c>
      <c r="B508" s="1" t="s">
        <v>921</v>
      </c>
      <c r="C508" s="7" t="s">
        <v>1945</v>
      </c>
      <c r="D508" s="7" t="s">
        <v>1946</v>
      </c>
      <c r="E508" s="7" t="s">
        <v>1947</v>
      </c>
      <c r="F508" s="9"/>
      <c r="H508" s="10"/>
      <c r="I508" s="10"/>
      <c r="J508" s="10"/>
      <c r="K508" s="10"/>
      <c r="L508" s="10"/>
      <c r="M508" s="10"/>
      <c r="N508" s="10"/>
      <c r="O508" s="7"/>
      <c r="P508" s="7"/>
      <c r="Q508" s="7"/>
      <c r="AB508" s="7"/>
    </row>
    <row r="509" spans="1:28" ht="14" x14ac:dyDescent="0.15">
      <c r="A509">
        <f t="shared" si="1"/>
        <v>2</v>
      </c>
      <c r="B509" s="1" t="s">
        <v>308</v>
      </c>
      <c r="C509" s="7" t="s">
        <v>1948</v>
      </c>
      <c r="D509" s="7" t="s">
        <v>1949</v>
      </c>
      <c r="E509" s="7"/>
      <c r="F509" s="9"/>
      <c r="G509" s="1" t="s">
        <v>1950</v>
      </c>
      <c r="H509" s="10"/>
      <c r="I509" s="10"/>
      <c r="J509" s="10"/>
      <c r="K509" s="10"/>
      <c r="L509" s="10"/>
      <c r="M509" s="10"/>
      <c r="N509" s="10"/>
      <c r="O509" s="7"/>
      <c r="P509" s="7"/>
      <c r="Q509" s="7"/>
      <c r="AB509" s="7"/>
    </row>
    <row r="510" spans="1:28" ht="28" x14ac:dyDescent="0.15">
      <c r="A510">
        <f t="shared" si="1"/>
        <v>2</v>
      </c>
      <c r="B510" s="1" t="s">
        <v>308</v>
      </c>
      <c r="C510" s="7" t="s">
        <v>1951</v>
      </c>
      <c r="D510" s="7" t="s">
        <v>1952</v>
      </c>
      <c r="E510" s="7"/>
      <c r="F510" s="9"/>
      <c r="G510" s="1" t="s">
        <v>1953</v>
      </c>
      <c r="H510" s="10"/>
      <c r="I510" s="10">
        <v>12</v>
      </c>
      <c r="J510" s="10"/>
      <c r="K510" s="10"/>
      <c r="L510" s="10"/>
      <c r="M510" s="10">
        <v>12</v>
      </c>
      <c r="N510" s="10"/>
      <c r="O510" s="7"/>
      <c r="P510" s="7"/>
      <c r="Q510" s="7"/>
      <c r="AB510" s="7"/>
    </row>
    <row r="511" spans="1:28" ht="135" x14ac:dyDescent="0.15">
      <c r="A511">
        <f t="shared" si="1"/>
        <v>2</v>
      </c>
      <c r="B511" s="19" t="s">
        <v>308</v>
      </c>
      <c r="C511" s="16" t="s">
        <v>1954</v>
      </c>
      <c r="D511" s="17" t="s">
        <v>1955</v>
      </c>
      <c r="E511" s="17" t="s">
        <v>1956</v>
      </c>
      <c r="F511" s="34"/>
      <c r="G511" s="33"/>
      <c r="H511" s="20"/>
      <c r="I511" s="20"/>
      <c r="J511" s="20"/>
      <c r="K511" s="20"/>
      <c r="L511" s="20"/>
      <c r="M511" s="20"/>
      <c r="N511" s="20"/>
      <c r="O511" s="19"/>
      <c r="P511" s="19"/>
      <c r="Q511" s="7"/>
      <c r="AB511" s="7"/>
    </row>
    <row r="512" spans="1:28" ht="28" x14ac:dyDescent="0.15">
      <c r="A512">
        <f t="shared" si="1"/>
        <v>2</v>
      </c>
      <c r="B512" s="1" t="s">
        <v>1472</v>
      </c>
      <c r="C512" s="7" t="s">
        <v>1957</v>
      </c>
      <c r="D512" s="7" t="s">
        <v>1958</v>
      </c>
      <c r="E512" s="7"/>
      <c r="F512" s="9"/>
      <c r="G512" s="1">
        <v>8</v>
      </c>
      <c r="H512" s="10">
        <v>8</v>
      </c>
      <c r="I512" s="10">
        <v>8</v>
      </c>
      <c r="J512" s="10">
        <v>8</v>
      </c>
      <c r="K512" s="10">
        <v>8</v>
      </c>
      <c r="L512" s="10">
        <v>8</v>
      </c>
      <c r="M512" s="10">
        <v>8</v>
      </c>
      <c r="N512" s="10"/>
      <c r="O512" s="7"/>
      <c r="P512" s="7"/>
      <c r="Q512" s="7"/>
      <c r="AB512" s="7"/>
    </row>
    <row r="513" spans="1:28" ht="28" x14ac:dyDescent="0.15">
      <c r="A513">
        <f t="shared" ref="A513:A767" si="3">ISBLANK(B513)+ISBLANK(C513)+ISBLANK(D513)+ISBLANK(E513)+ISBLANK(F513)+ISBLANK(G513)</f>
        <v>2</v>
      </c>
      <c r="B513" s="1" t="s">
        <v>1472</v>
      </c>
      <c r="C513" s="7" t="s">
        <v>1959</v>
      </c>
      <c r="D513" s="7" t="s">
        <v>1960</v>
      </c>
      <c r="E513" s="7"/>
      <c r="F513" s="9"/>
      <c r="G513" s="1" t="s">
        <v>8</v>
      </c>
      <c r="H513" s="10"/>
      <c r="I513" s="10"/>
      <c r="J513" s="10"/>
      <c r="K513" s="10"/>
      <c r="L513" s="10"/>
      <c r="M513" s="10"/>
      <c r="N513" s="10"/>
      <c r="O513" s="7"/>
      <c r="P513" s="7"/>
      <c r="Q513" s="7"/>
      <c r="AB513" s="7"/>
    </row>
    <row r="514" spans="1:28" ht="28" x14ac:dyDescent="0.15">
      <c r="A514">
        <f t="shared" si="3"/>
        <v>2</v>
      </c>
      <c r="B514" s="1" t="s">
        <v>1472</v>
      </c>
      <c r="C514" s="7" t="s">
        <v>1961</v>
      </c>
      <c r="D514" s="7" t="s">
        <v>1962</v>
      </c>
      <c r="E514" s="7"/>
      <c r="F514" s="9"/>
      <c r="G514" s="1" t="s">
        <v>1963</v>
      </c>
      <c r="H514" s="10"/>
      <c r="I514" s="10"/>
      <c r="J514" s="10"/>
      <c r="K514" s="10"/>
      <c r="L514" s="10"/>
      <c r="M514" s="10"/>
      <c r="N514" s="10"/>
      <c r="O514" s="7"/>
      <c r="P514" s="7"/>
      <c r="Q514" s="7"/>
      <c r="AB514" s="7"/>
    </row>
    <row r="515" spans="1:28" ht="28" x14ac:dyDescent="0.15">
      <c r="A515">
        <f t="shared" si="3"/>
        <v>2</v>
      </c>
      <c r="B515" s="1" t="s">
        <v>1472</v>
      </c>
      <c r="C515" s="7" t="s">
        <v>1964</v>
      </c>
      <c r="D515" s="7" t="s">
        <v>1965</v>
      </c>
      <c r="E515" s="7"/>
      <c r="F515" s="9"/>
      <c r="G515" s="1" t="s">
        <v>1963</v>
      </c>
      <c r="H515" s="10"/>
      <c r="I515" s="10"/>
      <c r="J515" s="10"/>
      <c r="K515" s="10"/>
      <c r="L515" s="10"/>
      <c r="M515" s="10"/>
      <c r="N515" s="10"/>
      <c r="O515" s="7"/>
      <c r="P515" s="7"/>
      <c r="Q515" s="7"/>
      <c r="AB515" s="7"/>
    </row>
    <row r="516" spans="1:28" ht="14" x14ac:dyDescent="0.15">
      <c r="A516">
        <f t="shared" si="3"/>
        <v>2</v>
      </c>
      <c r="B516" s="1" t="s">
        <v>1472</v>
      </c>
      <c r="C516" s="7" t="s">
        <v>1966</v>
      </c>
      <c r="D516" s="7" t="s">
        <v>1967</v>
      </c>
      <c r="E516" s="7"/>
      <c r="F516" s="9"/>
      <c r="G516" s="1" t="s">
        <v>8</v>
      </c>
      <c r="H516" s="10"/>
      <c r="I516" s="10"/>
      <c r="J516" s="10"/>
      <c r="K516" s="10"/>
      <c r="L516" s="10"/>
      <c r="M516" s="10"/>
      <c r="N516" s="10"/>
      <c r="O516" s="7"/>
      <c r="P516" s="7"/>
      <c r="Q516" s="7"/>
      <c r="AB516" s="7"/>
    </row>
    <row r="517" spans="1:28" ht="14" x14ac:dyDescent="0.15">
      <c r="A517">
        <f t="shared" si="3"/>
        <v>2</v>
      </c>
      <c r="B517" s="1" t="s">
        <v>1472</v>
      </c>
      <c r="C517" s="7" t="s">
        <v>1968</v>
      </c>
      <c r="D517" s="7" t="s">
        <v>1969</v>
      </c>
      <c r="E517" s="7"/>
      <c r="F517" s="9"/>
      <c r="G517" s="1" t="s">
        <v>1970</v>
      </c>
      <c r="H517" s="10"/>
      <c r="I517" s="10"/>
      <c r="J517" s="10"/>
      <c r="K517" s="10"/>
      <c r="L517" s="10"/>
      <c r="M517" s="10"/>
      <c r="N517" s="10"/>
      <c r="O517" s="7"/>
      <c r="P517" s="7"/>
      <c r="Q517" s="7"/>
      <c r="AB517" s="7"/>
    </row>
    <row r="518" spans="1:28" ht="42" x14ac:dyDescent="0.15">
      <c r="A518">
        <f t="shared" si="3"/>
        <v>2</v>
      </c>
      <c r="B518" s="1" t="s">
        <v>1472</v>
      </c>
      <c r="C518" s="7" t="s">
        <v>1971</v>
      </c>
      <c r="D518" s="7" t="s">
        <v>1972</v>
      </c>
      <c r="E518" s="7"/>
      <c r="F518" s="9"/>
      <c r="G518" s="1" t="s">
        <v>1973</v>
      </c>
      <c r="H518" s="10"/>
      <c r="I518" s="10"/>
      <c r="J518" s="10"/>
      <c r="K518" s="10"/>
      <c r="L518" s="10"/>
      <c r="M518" s="10"/>
      <c r="N518" s="10"/>
      <c r="O518" s="7"/>
      <c r="P518" s="7"/>
      <c r="Q518" s="7"/>
      <c r="AB518" s="7"/>
    </row>
    <row r="519" spans="1:28" ht="14" x14ac:dyDescent="0.15">
      <c r="A519">
        <f t="shared" si="3"/>
        <v>3</v>
      </c>
      <c r="B519" s="1" t="s">
        <v>23</v>
      </c>
      <c r="C519" s="7" t="s">
        <v>1974</v>
      </c>
      <c r="D519" s="7" t="s">
        <v>1975</v>
      </c>
      <c r="E519" s="7"/>
      <c r="F519" s="9"/>
      <c r="H519" s="10"/>
      <c r="I519" s="10"/>
      <c r="J519" s="10"/>
      <c r="K519" s="10"/>
      <c r="L519" s="10"/>
      <c r="M519" s="10"/>
      <c r="N519" s="10"/>
      <c r="O519" s="7"/>
      <c r="P519" s="7"/>
      <c r="Q519" s="7"/>
      <c r="AB519" s="7"/>
    </row>
    <row r="520" spans="1:28" ht="28" x14ac:dyDescent="0.15">
      <c r="A520">
        <f t="shared" si="3"/>
        <v>3</v>
      </c>
      <c r="B520" s="1" t="s">
        <v>129</v>
      </c>
      <c r="C520" s="7" t="s">
        <v>1976</v>
      </c>
      <c r="D520" s="7" t="s">
        <v>1977</v>
      </c>
      <c r="E520" s="7"/>
      <c r="F520" s="9"/>
      <c r="H520" s="10"/>
      <c r="I520" s="10"/>
      <c r="J520" s="10"/>
      <c r="K520" s="10"/>
      <c r="L520" s="10"/>
      <c r="M520" s="10"/>
      <c r="N520" s="10"/>
      <c r="O520" s="7"/>
      <c r="P520" s="7"/>
      <c r="Q520" s="7"/>
      <c r="AB520" s="7"/>
    </row>
    <row r="521" spans="1:28" ht="14" x14ac:dyDescent="0.15">
      <c r="A521">
        <f t="shared" si="3"/>
        <v>3</v>
      </c>
      <c r="B521" s="1" t="s">
        <v>129</v>
      </c>
      <c r="C521" s="7" t="s">
        <v>1978</v>
      </c>
      <c r="D521" s="7" t="s">
        <v>1979</v>
      </c>
      <c r="E521" s="7"/>
      <c r="F521" s="9"/>
      <c r="H521" s="10"/>
      <c r="I521" s="10"/>
      <c r="J521" s="10"/>
      <c r="K521" s="10"/>
      <c r="L521" s="10"/>
      <c r="M521" s="10"/>
      <c r="N521" s="10"/>
      <c r="O521" s="7"/>
      <c r="P521" s="7"/>
      <c r="Q521" s="7"/>
      <c r="AB521" s="7"/>
    </row>
    <row r="522" spans="1:28" ht="14" x14ac:dyDescent="0.15">
      <c r="A522">
        <f t="shared" si="3"/>
        <v>3</v>
      </c>
      <c r="B522" s="1" t="s">
        <v>129</v>
      </c>
      <c r="C522" s="7" t="s">
        <v>1980</v>
      </c>
      <c r="D522" s="7"/>
      <c r="E522" s="7"/>
      <c r="F522" s="9"/>
      <c r="G522" s="1" t="s">
        <v>1981</v>
      </c>
      <c r="H522" s="10"/>
      <c r="I522" s="10"/>
      <c r="J522" s="10"/>
      <c r="K522" s="10"/>
      <c r="L522" s="10"/>
      <c r="M522" s="10"/>
      <c r="N522" s="10"/>
      <c r="O522" s="7"/>
      <c r="P522" s="7"/>
      <c r="Q522" s="7"/>
      <c r="AB522" s="7"/>
    </row>
    <row r="523" spans="1:28" ht="14" x14ac:dyDescent="0.15">
      <c r="A523">
        <f t="shared" si="3"/>
        <v>3</v>
      </c>
      <c r="B523" s="1" t="s">
        <v>129</v>
      </c>
      <c r="C523" s="7" t="s">
        <v>1982</v>
      </c>
      <c r="D523" s="7"/>
      <c r="E523" s="7"/>
      <c r="F523" s="9"/>
      <c r="G523" s="1" t="s">
        <v>1983</v>
      </c>
      <c r="H523" s="10"/>
      <c r="I523" s="10"/>
      <c r="J523" s="10"/>
      <c r="K523" s="10"/>
      <c r="L523" s="10"/>
      <c r="M523" s="10"/>
      <c r="N523" s="10"/>
      <c r="O523" s="7"/>
      <c r="P523" s="7"/>
      <c r="Q523" s="7"/>
      <c r="AB523" s="7"/>
    </row>
    <row r="524" spans="1:28" ht="28" x14ac:dyDescent="0.15">
      <c r="A524">
        <f t="shared" si="3"/>
        <v>3</v>
      </c>
      <c r="B524" s="1" t="s">
        <v>1984</v>
      </c>
      <c r="C524" s="7" t="s">
        <v>1985</v>
      </c>
      <c r="D524" s="7" t="s">
        <v>1986</v>
      </c>
      <c r="E524" s="7"/>
      <c r="F524" s="9"/>
      <c r="H524" s="10"/>
      <c r="I524" s="10"/>
      <c r="J524" s="10"/>
      <c r="K524" s="10"/>
      <c r="L524" s="10"/>
      <c r="M524" s="10"/>
      <c r="N524" s="10"/>
      <c r="O524" s="7"/>
      <c r="P524" s="7"/>
      <c r="Q524" s="7"/>
      <c r="AB524" s="7"/>
    </row>
    <row r="525" spans="1:28" ht="14" x14ac:dyDescent="0.15">
      <c r="A525">
        <f t="shared" si="3"/>
        <v>3</v>
      </c>
      <c r="B525" s="1" t="s">
        <v>302</v>
      </c>
      <c r="C525" s="7" t="s">
        <v>1987</v>
      </c>
      <c r="D525" s="7"/>
      <c r="E525" s="7"/>
      <c r="F525" s="9"/>
      <c r="G525" s="1" t="s">
        <v>11</v>
      </c>
      <c r="H525" s="10"/>
      <c r="I525" s="10"/>
      <c r="J525" s="10"/>
      <c r="K525" s="10"/>
      <c r="L525" s="10"/>
      <c r="M525" s="10"/>
      <c r="N525" s="10"/>
      <c r="O525" s="7"/>
      <c r="P525" s="7"/>
      <c r="Q525" s="7"/>
      <c r="AB525" s="7"/>
    </row>
    <row r="526" spans="1:28" ht="14" x14ac:dyDescent="0.15">
      <c r="A526">
        <f t="shared" si="3"/>
        <v>3</v>
      </c>
      <c r="B526" s="1" t="s">
        <v>302</v>
      </c>
      <c r="C526" s="7" t="s">
        <v>1988</v>
      </c>
      <c r="D526" s="7" t="s">
        <v>1989</v>
      </c>
      <c r="E526" s="7"/>
      <c r="F526" s="9"/>
      <c r="H526" s="10"/>
      <c r="I526" s="10"/>
      <c r="J526" s="10"/>
      <c r="K526" s="10"/>
      <c r="L526" s="10"/>
      <c r="M526" s="10"/>
      <c r="N526" s="10"/>
      <c r="O526" s="7"/>
      <c r="P526" s="7"/>
      <c r="Q526" s="7"/>
      <c r="AB526" s="7"/>
    </row>
    <row r="527" spans="1:28" ht="28" x14ac:dyDescent="0.15">
      <c r="A527">
        <f t="shared" si="3"/>
        <v>3</v>
      </c>
      <c r="B527" s="1" t="s">
        <v>302</v>
      </c>
      <c r="C527" s="7" t="s">
        <v>1990</v>
      </c>
      <c r="D527" s="7" t="s">
        <v>1991</v>
      </c>
      <c r="E527" s="7"/>
      <c r="F527" s="9"/>
      <c r="H527" s="10"/>
      <c r="I527" s="10"/>
      <c r="J527" s="10"/>
      <c r="K527" s="10"/>
      <c r="L527" s="10"/>
      <c r="M527" s="10"/>
      <c r="N527" s="10"/>
      <c r="O527" s="7"/>
      <c r="P527" s="7"/>
      <c r="Q527" s="7"/>
      <c r="AB527" s="7"/>
    </row>
    <row r="528" spans="1:28" ht="14" x14ac:dyDescent="0.15">
      <c r="A528">
        <f t="shared" si="3"/>
        <v>3</v>
      </c>
      <c r="B528" s="1" t="s">
        <v>302</v>
      </c>
      <c r="C528" s="7" t="s">
        <v>1992</v>
      </c>
      <c r="D528" s="7" t="s">
        <v>1993</v>
      </c>
      <c r="E528" s="7"/>
      <c r="F528" s="9"/>
      <c r="H528" s="10"/>
      <c r="I528" s="10"/>
      <c r="J528" s="10"/>
      <c r="K528" s="10"/>
      <c r="L528" s="10"/>
      <c r="M528" s="10"/>
      <c r="N528" s="10"/>
      <c r="O528" s="7"/>
      <c r="P528" s="7"/>
      <c r="Q528" s="7"/>
      <c r="AB528" s="7"/>
    </row>
    <row r="529" spans="1:28" ht="28" x14ac:dyDescent="0.15">
      <c r="A529">
        <f t="shared" si="3"/>
        <v>3</v>
      </c>
      <c r="B529" s="1" t="s">
        <v>858</v>
      </c>
      <c r="C529" s="7" t="s">
        <v>1994</v>
      </c>
      <c r="D529" s="7" t="s">
        <v>1995</v>
      </c>
      <c r="E529" s="7"/>
      <c r="F529" s="9"/>
      <c r="H529" s="10"/>
      <c r="I529" s="10"/>
      <c r="J529" s="10"/>
      <c r="K529" s="10"/>
      <c r="L529" s="10"/>
      <c r="M529" s="10"/>
      <c r="N529" s="10"/>
      <c r="O529" s="7"/>
      <c r="P529" s="7"/>
      <c r="Q529" s="7"/>
      <c r="AB529" s="7"/>
    </row>
    <row r="530" spans="1:28" ht="14" x14ac:dyDescent="0.15">
      <c r="A530">
        <f t="shared" si="3"/>
        <v>3</v>
      </c>
      <c r="B530" s="1" t="s">
        <v>921</v>
      </c>
      <c r="C530" s="7" t="s">
        <v>1996</v>
      </c>
      <c r="D530" s="7" t="s">
        <v>1997</v>
      </c>
      <c r="E530" s="7"/>
      <c r="F530" s="9"/>
      <c r="H530" s="10"/>
      <c r="I530" s="10"/>
      <c r="J530" s="10"/>
      <c r="K530" s="10"/>
      <c r="L530" s="10"/>
      <c r="M530" s="10"/>
      <c r="N530" s="10"/>
      <c r="O530" s="7"/>
      <c r="P530" s="7"/>
      <c r="Q530" s="7"/>
      <c r="AB530" s="7"/>
    </row>
    <row r="531" spans="1:28" ht="28" x14ac:dyDescent="0.15">
      <c r="A531">
        <f t="shared" si="3"/>
        <v>3</v>
      </c>
      <c r="B531" s="16" t="s">
        <v>921</v>
      </c>
      <c r="C531" s="16" t="s">
        <v>1998</v>
      </c>
      <c r="D531" s="33"/>
      <c r="E531" s="16" t="s">
        <v>1999</v>
      </c>
      <c r="F531" s="34"/>
      <c r="G531" s="33"/>
      <c r="H531" s="20"/>
      <c r="I531" s="20"/>
      <c r="J531" s="20"/>
      <c r="K531" s="20"/>
      <c r="L531" s="20"/>
      <c r="M531" s="20"/>
      <c r="N531" s="20"/>
      <c r="O531" s="19"/>
      <c r="P531" s="19"/>
      <c r="Q531" s="7"/>
      <c r="AB531" s="7"/>
    </row>
    <row r="532" spans="1:28" ht="28" x14ac:dyDescent="0.15">
      <c r="A532">
        <f t="shared" si="3"/>
        <v>3</v>
      </c>
      <c r="B532" s="16" t="s">
        <v>921</v>
      </c>
      <c r="C532" s="16" t="s">
        <v>2000</v>
      </c>
      <c r="D532" s="16" t="s">
        <v>2001</v>
      </c>
      <c r="E532" s="33"/>
      <c r="F532" s="34"/>
      <c r="G532" s="33"/>
      <c r="H532" s="20"/>
      <c r="I532" s="20"/>
      <c r="J532" s="20"/>
      <c r="K532" s="20"/>
      <c r="L532" s="20"/>
      <c r="M532" s="20"/>
      <c r="N532" s="20"/>
      <c r="O532" s="19"/>
      <c r="P532" s="19"/>
      <c r="Q532" s="7"/>
      <c r="AB532" s="7"/>
    </row>
    <row r="533" spans="1:28" ht="70" x14ac:dyDescent="0.15">
      <c r="A533">
        <f t="shared" si="3"/>
        <v>3</v>
      </c>
      <c r="B533" s="16" t="s">
        <v>921</v>
      </c>
      <c r="C533" s="16" t="s">
        <v>2002</v>
      </c>
      <c r="D533" s="16" t="s">
        <v>2003</v>
      </c>
      <c r="E533" s="33"/>
      <c r="F533" s="34"/>
      <c r="G533" s="33"/>
      <c r="H533" s="20"/>
      <c r="I533" s="20"/>
      <c r="J533" s="20"/>
      <c r="K533" s="20"/>
      <c r="L533" s="20"/>
      <c r="M533" s="20"/>
      <c r="N533" s="20"/>
      <c r="O533" s="19"/>
      <c r="P533" s="19"/>
      <c r="Q533" s="7"/>
      <c r="AB533" s="7"/>
    </row>
    <row r="534" spans="1:28" ht="14" x14ac:dyDescent="0.15">
      <c r="A534">
        <f t="shared" si="3"/>
        <v>3</v>
      </c>
      <c r="B534" s="1" t="s">
        <v>921</v>
      </c>
      <c r="C534" s="7" t="s">
        <v>2004</v>
      </c>
      <c r="D534" s="7" t="s">
        <v>2005</v>
      </c>
      <c r="E534" s="7"/>
      <c r="F534" s="9"/>
      <c r="H534" s="10"/>
      <c r="I534" s="10"/>
      <c r="J534" s="10"/>
      <c r="K534" s="10"/>
      <c r="L534" s="10"/>
      <c r="M534" s="10"/>
      <c r="N534" s="10"/>
      <c r="O534" s="7"/>
      <c r="P534" s="7"/>
      <c r="Q534" s="7"/>
      <c r="AB534" s="7"/>
    </row>
    <row r="535" spans="1:28" ht="14" x14ac:dyDescent="0.15">
      <c r="A535">
        <f t="shared" si="3"/>
        <v>3</v>
      </c>
      <c r="B535" s="1" t="s">
        <v>921</v>
      </c>
      <c r="C535" s="7" t="s">
        <v>2006</v>
      </c>
      <c r="D535" s="7"/>
      <c r="E535" s="7"/>
      <c r="F535" s="9"/>
      <c r="G535" s="1" t="s">
        <v>9</v>
      </c>
      <c r="H535" s="10"/>
      <c r="I535" s="10"/>
      <c r="J535" s="10"/>
      <c r="K535" s="10"/>
      <c r="L535" s="10"/>
      <c r="M535" s="10"/>
      <c r="N535" s="10"/>
      <c r="O535" s="7"/>
      <c r="P535" s="7"/>
      <c r="Q535" s="7"/>
      <c r="AB535" s="7"/>
    </row>
    <row r="536" spans="1:28" ht="14" x14ac:dyDescent="0.15">
      <c r="A536">
        <f t="shared" si="3"/>
        <v>3</v>
      </c>
      <c r="B536" s="1" t="s">
        <v>921</v>
      </c>
      <c r="C536" s="7" t="s">
        <v>2007</v>
      </c>
      <c r="D536" s="7" t="s">
        <v>2008</v>
      </c>
      <c r="E536" s="7"/>
      <c r="F536" s="9"/>
      <c r="H536" s="10"/>
      <c r="I536" s="10"/>
      <c r="J536" s="10"/>
      <c r="K536" s="10"/>
      <c r="L536" s="10"/>
      <c r="M536" s="10"/>
      <c r="N536" s="10"/>
      <c r="O536" s="7"/>
      <c r="P536" s="7"/>
      <c r="Q536" s="7"/>
      <c r="AB536" s="7"/>
    </row>
    <row r="537" spans="1:28" ht="14" x14ac:dyDescent="0.15">
      <c r="A537">
        <f t="shared" si="3"/>
        <v>3</v>
      </c>
      <c r="B537" s="1" t="s">
        <v>921</v>
      </c>
      <c r="C537" s="7"/>
      <c r="D537" s="7" t="s">
        <v>2009</v>
      </c>
      <c r="E537" s="7"/>
      <c r="F537" s="9"/>
      <c r="G537" s="1" t="s">
        <v>1517</v>
      </c>
      <c r="H537" s="10"/>
      <c r="I537" s="10"/>
      <c r="J537" s="10"/>
      <c r="K537" s="10"/>
      <c r="L537" s="10"/>
      <c r="M537" s="10"/>
      <c r="N537" s="10"/>
      <c r="O537" s="7"/>
      <c r="P537" s="7"/>
      <c r="Q537" s="7"/>
      <c r="AB537" s="7"/>
    </row>
    <row r="538" spans="1:28" ht="14" x14ac:dyDescent="0.15">
      <c r="A538">
        <f t="shared" si="3"/>
        <v>3</v>
      </c>
      <c r="B538" s="1" t="s">
        <v>921</v>
      </c>
      <c r="C538" s="7"/>
      <c r="D538" s="7" t="s">
        <v>2010</v>
      </c>
      <c r="E538" s="7"/>
      <c r="F538" s="9"/>
      <c r="G538" s="1" t="s">
        <v>2011</v>
      </c>
      <c r="H538" s="10"/>
      <c r="I538" s="10"/>
      <c r="J538" s="10"/>
      <c r="K538" s="10"/>
      <c r="L538" s="10"/>
      <c r="M538" s="10"/>
      <c r="N538" s="10"/>
      <c r="O538" s="7"/>
      <c r="P538" s="7"/>
      <c r="Q538" s="7"/>
      <c r="AB538" s="7"/>
    </row>
    <row r="539" spans="1:28" ht="14" x14ac:dyDescent="0.15">
      <c r="A539">
        <f t="shared" si="3"/>
        <v>3</v>
      </c>
      <c r="B539" s="1" t="s">
        <v>2012</v>
      </c>
      <c r="C539" s="7" t="s">
        <v>2013</v>
      </c>
      <c r="D539" s="7" t="s">
        <v>2014</v>
      </c>
      <c r="E539" s="7"/>
      <c r="F539" s="9"/>
      <c r="H539" s="10"/>
      <c r="I539" s="10"/>
      <c r="J539" s="10"/>
      <c r="K539" s="10"/>
      <c r="L539" s="10"/>
      <c r="M539" s="10"/>
      <c r="N539" s="10"/>
      <c r="O539" s="7"/>
      <c r="P539" s="7"/>
      <c r="Q539" s="7"/>
      <c r="AB539" s="7"/>
    </row>
    <row r="540" spans="1:28" ht="14" x14ac:dyDescent="0.15">
      <c r="A540">
        <f t="shared" si="3"/>
        <v>3</v>
      </c>
      <c r="B540" s="1" t="s">
        <v>2012</v>
      </c>
      <c r="C540" s="7" t="s">
        <v>2015</v>
      </c>
      <c r="D540" s="7" t="s">
        <v>2016</v>
      </c>
      <c r="E540" s="7"/>
      <c r="F540" s="9"/>
      <c r="H540" s="10"/>
      <c r="I540" s="10"/>
      <c r="J540" s="10"/>
      <c r="K540" s="10"/>
      <c r="L540" s="10"/>
      <c r="M540" s="10"/>
      <c r="N540" s="10"/>
      <c r="O540" s="7"/>
      <c r="P540" s="7"/>
      <c r="Q540" s="7"/>
      <c r="AB540" s="7"/>
    </row>
    <row r="541" spans="1:28" ht="28" x14ac:dyDescent="0.15">
      <c r="A541">
        <f t="shared" si="3"/>
        <v>3</v>
      </c>
      <c r="B541" s="1" t="s">
        <v>2012</v>
      </c>
      <c r="C541" s="7" t="s">
        <v>2017</v>
      </c>
      <c r="D541" s="7" t="s">
        <v>2018</v>
      </c>
      <c r="E541" s="7"/>
      <c r="F541" s="9"/>
      <c r="H541" s="10"/>
      <c r="I541" s="10"/>
      <c r="J541" s="10"/>
      <c r="K541" s="10"/>
      <c r="L541" s="10"/>
      <c r="M541" s="10"/>
      <c r="N541" s="10"/>
      <c r="O541" s="7"/>
      <c r="P541" s="7"/>
      <c r="Q541" s="7"/>
      <c r="AB541" s="7"/>
    </row>
    <row r="542" spans="1:28" ht="28" x14ac:dyDescent="0.15">
      <c r="A542">
        <f t="shared" si="3"/>
        <v>3</v>
      </c>
      <c r="B542" s="1" t="s">
        <v>2012</v>
      </c>
      <c r="C542" s="7" t="s">
        <v>2019</v>
      </c>
      <c r="D542" s="7" t="s">
        <v>2020</v>
      </c>
      <c r="E542" s="7"/>
      <c r="F542" s="9"/>
      <c r="H542" s="10"/>
      <c r="I542" s="10"/>
      <c r="J542" s="10"/>
      <c r="K542" s="10"/>
      <c r="L542" s="10"/>
      <c r="M542" s="10"/>
      <c r="N542" s="10"/>
      <c r="O542" s="7"/>
      <c r="P542" s="7"/>
      <c r="Q542" s="7"/>
      <c r="AB542" s="7"/>
    </row>
    <row r="543" spans="1:28" ht="28" x14ac:dyDescent="0.15">
      <c r="A543">
        <f t="shared" si="3"/>
        <v>3</v>
      </c>
      <c r="B543" s="1" t="s">
        <v>2012</v>
      </c>
      <c r="C543" s="7" t="s">
        <v>2021</v>
      </c>
      <c r="D543" s="7" t="s">
        <v>2022</v>
      </c>
      <c r="E543" s="7"/>
      <c r="F543" s="9"/>
      <c r="H543" s="10"/>
      <c r="I543" s="10"/>
      <c r="J543" s="10"/>
      <c r="K543" s="10"/>
      <c r="L543" s="10"/>
      <c r="M543" s="10"/>
      <c r="N543" s="10"/>
      <c r="O543" s="7"/>
      <c r="P543" s="7"/>
      <c r="Q543" s="7"/>
      <c r="AB543" s="7"/>
    </row>
    <row r="544" spans="1:28" ht="42" x14ac:dyDescent="0.15">
      <c r="A544">
        <f t="shared" si="3"/>
        <v>3</v>
      </c>
      <c r="B544" s="1" t="s">
        <v>2012</v>
      </c>
      <c r="C544" s="7" t="s">
        <v>2023</v>
      </c>
      <c r="D544" s="7" t="s">
        <v>2024</v>
      </c>
      <c r="E544" s="7"/>
      <c r="F544" s="9"/>
      <c r="H544" s="10"/>
      <c r="I544" s="10"/>
      <c r="J544" s="10"/>
      <c r="K544" s="10"/>
      <c r="L544" s="10"/>
      <c r="M544" s="10"/>
      <c r="N544" s="10"/>
      <c r="O544" s="7"/>
      <c r="P544" s="7"/>
      <c r="Q544" s="7"/>
      <c r="AB544" s="7"/>
    </row>
    <row r="545" spans="1:28" ht="14" x14ac:dyDescent="0.15">
      <c r="A545">
        <f t="shared" si="3"/>
        <v>3</v>
      </c>
      <c r="B545" s="1" t="s">
        <v>1472</v>
      </c>
      <c r="C545" s="7" t="s">
        <v>2025</v>
      </c>
      <c r="D545" s="7"/>
      <c r="E545" s="7"/>
      <c r="F545" s="9"/>
      <c r="G545" s="1" t="s">
        <v>9</v>
      </c>
      <c r="H545" s="10"/>
      <c r="I545" s="10"/>
      <c r="J545" s="10"/>
      <c r="K545" s="10"/>
      <c r="L545" s="10"/>
      <c r="M545" s="10"/>
      <c r="N545" s="10"/>
      <c r="O545" s="7"/>
      <c r="P545" s="7"/>
      <c r="Q545" s="7"/>
      <c r="AB545" s="7"/>
    </row>
    <row r="546" spans="1:28" ht="28" x14ac:dyDescent="0.15">
      <c r="A546">
        <f t="shared" si="3"/>
        <v>3</v>
      </c>
      <c r="B546" s="1" t="s">
        <v>1472</v>
      </c>
      <c r="C546" s="7" t="s">
        <v>2026</v>
      </c>
      <c r="D546" s="7" t="s">
        <v>2027</v>
      </c>
      <c r="E546" s="7"/>
      <c r="F546" s="9"/>
      <c r="H546" s="10"/>
      <c r="I546" s="10"/>
      <c r="J546" s="10"/>
      <c r="K546" s="10"/>
      <c r="L546" s="10"/>
      <c r="M546" s="10"/>
      <c r="N546" s="10"/>
      <c r="O546" s="7"/>
      <c r="P546" s="7"/>
      <c r="Q546" s="7"/>
      <c r="AB546" s="7"/>
    </row>
    <row r="547" spans="1:28" ht="14" x14ac:dyDescent="0.15">
      <c r="A547">
        <f t="shared" si="3"/>
        <v>3</v>
      </c>
      <c r="B547" s="1" t="s">
        <v>1472</v>
      </c>
      <c r="C547" s="7" t="s">
        <v>2028</v>
      </c>
      <c r="D547" s="7"/>
      <c r="E547" s="7"/>
      <c r="F547" s="9"/>
      <c r="G547" s="1" t="s">
        <v>10</v>
      </c>
      <c r="H547" s="10"/>
      <c r="I547" s="10"/>
      <c r="J547" s="10"/>
      <c r="K547" s="10"/>
      <c r="L547" s="10"/>
      <c r="M547" s="10"/>
      <c r="N547" s="10"/>
      <c r="O547" s="7"/>
      <c r="P547" s="7"/>
      <c r="Q547" s="7"/>
      <c r="AB547" s="7"/>
    </row>
    <row r="548" spans="1:28" ht="14" x14ac:dyDescent="0.15">
      <c r="A548">
        <f t="shared" si="3"/>
        <v>3</v>
      </c>
      <c r="B548" s="1" t="s">
        <v>1472</v>
      </c>
      <c r="C548" s="7" t="s">
        <v>2029</v>
      </c>
      <c r="D548" s="7"/>
      <c r="E548" s="7"/>
      <c r="F548" s="9"/>
      <c r="G548" s="1" t="s">
        <v>1850</v>
      </c>
      <c r="H548" s="10"/>
      <c r="I548" s="10"/>
      <c r="J548" s="10"/>
      <c r="K548" s="10"/>
      <c r="L548" s="10"/>
      <c r="M548" s="10"/>
      <c r="N548" s="10"/>
      <c r="O548" s="7"/>
      <c r="P548" s="7"/>
      <c r="Q548" s="7"/>
      <c r="AB548" s="7"/>
    </row>
    <row r="549" spans="1:28" ht="42" x14ac:dyDescent="0.15">
      <c r="A549">
        <f t="shared" si="3"/>
        <v>3</v>
      </c>
      <c r="B549" s="1" t="s">
        <v>366</v>
      </c>
      <c r="C549" s="7" t="s">
        <v>2030</v>
      </c>
      <c r="D549" s="7" t="s">
        <v>2031</v>
      </c>
      <c r="E549" s="7"/>
      <c r="F549" s="9"/>
      <c r="H549" s="10"/>
      <c r="I549" s="10"/>
      <c r="J549" s="10"/>
      <c r="K549" s="10"/>
      <c r="L549" s="10"/>
      <c r="M549" s="10"/>
      <c r="N549" s="10"/>
      <c r="O549" s="7"/>
      <c r="P549" s="7"/>
      <c r="Q549" s="7"/>
      <c r="AB549" s="7"/>
    </row>
    <row r="550" spans="1:28" ht="42" x14ac:dyDescent="0.15">
      <c r="A550">
        <f t="shared" si="3"/>
        <v>3</v>
      </c>
      <c r="C550" s="7" t="s">
        <v>2032</v>
      </c>
      <c r="D550" s="7" t="s">
        <v>2033</v>
      </c>
      <c r="E550" s="7" t="s">
        <v>2034</v>
      </c>
      <c r="F550" s="9"/>
      <c r="H550" s="10"/>
      <c r="I550" s="10"/>
      <c r="J550" s="10"/>
      <c r="K550" s="10"/>
      <c r="L550" s="10"/>
      <c r="M550" s="10"/>
      <c r="N550" s="10"/>
      <c r="O550" s="7"/>
      <c r="P550" s="7"/>
      <c r="Q550" s="7"/>
      <c r="AB550" s="7"/>
    </row>
    <row r="551" spans="1:28" ht="14" x14ac:dyDescent="0.15">
      <c r="A551">
        <f t="shared" si="3"/>
        <v>3</v>
      </c>
      <c r="C551" s="7" t="s">
        <v>2035</v>
      </c>
      <c r="D551" s="7" t="s">
        <v>2036</v>
      </c>
      <c r="E551" s="7"/>
      <c r="F551" s="9"/>
      <c r="G551" s="1" t="s">
        <v>10</v>
      </c>
      <c r="H551" s="10"/>
      <c r="I551" s="10"/>
      <c r="J551" s="10"/>
      <c r="K551" s="10"/>
      <c r="L551" s="10"/>
      <c r="M551" s="10"/>
      <c r="N551" s="10"/>
      <c r="O551" s="7"/>
      <c r="P551" s="7"/>
      <c r="Q551" s="7"/>
      <c r="AB551" s="7"/>
    </row>
    <row r="552" spans="1:28" ht="14" x14ac:dyDescent="0.15">
      <c r="A552">
        <f t="shared" si="3"/>
        <v>4</v>
      </c>
      <c r="B552" s="1" t="s">
        <v>129</v>
      </c>
      <c r="C552" s="7" t="s">
        <v>2037</v>
      </c>
      <c r="D552" s="7"/>
      <c r="E552" s="7"/>
      <c r="F552" s="9"/>
      <c r="H552" s="10"/>
      <c r="I552" s="10"/>
      <c r="J552" s="10"/>
      <c r="K552" s="10"/>
      <c r="L552" s="10"/>
      <c r="M552" s="10"/>
      <c r="N552" s="10"/>
      <c r="O552" s="7"/>
      <c r="P552" s="7"/>
      <c r="Q552" s="7"/>
      <c r="AB552" s="7"/>
    </row>
    <row r="553" spans="1:28" ht="14" x14ac:dyDescent="0.15">
      <c r="A553">
        <f t="shared" si="3"/>
        <v>4</v>
      </c>
      <c r="B553" s="1" t="s">
        <v>129</v>
      </c>
      <c r="C553" s="7" t="s">
        <v>2038</v>
      </c>
      <c r="D553" s="7"/>
      <c r="E553" s="7"/>
      <c r="F553" s="9"/>
      <c r="H553" s="10"/>
      <c r="I553" s="10"/>
      <c r="J553" s="10"/>
      <c r="K553" s="10"/>
      <c r="L553" s="10"/>
      <c r="M553" s="10"/>
      <c r="N553" s="10"/>
      <c r="O553" s="7"/>
      <c r="P553" s="7"/>
      <c r="Q553" s="7"/>
      <c r="AB553" s="7"/>
    </row>
    <row r="554" spans="1:28" ht="14" x14ac:dyDescent="0.15">
      <c r="A554">
        <f t="shared" si="3"/>
        <v>4</v>
      </c>
      <c r="B554" s="1" t="s">
        <v>302</v>
      </c>
      <c r="C554" s="7" t="s">
        <v>2039</v>
      </c>
      <c r="D554" s="7"/>
      <c r="E554" s="7"/>
      <c r="F554" s="9"/>
      <c r="H554" s="10"/>
      <c r="I554" s="10"/>
      <c r="J554" s="10"/>
      <c r="K554" s="10"/>
      <c r="L554" s="10"/>
      <c r="M554" s="10"/>
      <c r="N554" s="10"/>
      <c r="O554" s="7"/>
      <c r="P554" s="7"/>
      <c r="Q554" s="7"/>
      <c r="AB554" s="7"/>
    </row>
    <row r="555" spans="1:28" ht="14" x14ac:dyDescent="0.15">
      <c r="A555">
        <f t="shared" si="3"/>
        <v>4</v>
      </c>
      <c r="B555" s="1" t="s">
        <v>302</v>
      </c>
      <c r="C555" s="7" t="s">
        <v>2040</v>
      </c>
      <c r="D555" s="7"/>
      <c r="E555" s="7"/>
      <c r="F555" s="9"/>
      <c r="H555" s="10"/>
      <c r="I555" s="10"/>
      <c r="J555" s="10"/>
      <c r="K555" s="10"/>
      <c r="L555" s="10"/>
      <c r="M555" s="10"/>
      <c r="N555" s="10"/>
      <c r="O555" s="7"/>
      <c r="P555" s="7"/>
      <c r="Q555" s="7"/>
      <c r="AB555" s="7"/>
    </row>
    <row r="556" spans="1:28" ht="14" x14ac:dyDescent="0.15">
      <c r="A556">
        <f t="shared" si="3"/>
        <v>4</v>
      </c>
      <c r="B556" s="1" t="s">
        <v>921</v>
      </c>
      <c r="C556" s="7" t="s">
        <v>2041</v>
      </c>
      <c r="D556" s="7"/>
      <c r="E556" s="7"/>
      <c r="F556" s="9"/>
      <c r="H556" s="10"/>
      <c r="I556" s="10"/>
      <c r="J556" s="10"/>
      <c r="K556" s="10"/>
      <c r="L556" s="10"/>
      <c r="M556" s="10"/>
      <c r="N556" s="10"/>
      <c r="O556" s="7"/>
      <c r="P556" s="7"/>
      <c r="Q556" s="7"/>
      <c r="AB556" s="7"/>
    </row>
    <row r="557" spans="1:28" ht="14" x14ac:dyDescent="0.15">
      <c r="A557">
        <f t="shared" si="3"/>
        <v>4</v>
      </c>
      <c r="B557" s="1" t="s">
        <v>921</v>
      </c>
      <c r="C557" s="7" t="s">
        <v>2042</v>
      </c>
      <c r="D557" s="7"/>
      <c r="E557" s="7"/>
      <c r="F557" s="9"/>
      <c r="H557" s="10"/>
      <c r="I557" s="10"/>
      <c r="J557" s="10"/>
      <c r="K557" s="10"/>
      <c r="L557" s="10"/>
      <c r="M557" s="10"/>
      <c r="N557" s="10"/>
      <c r="O557" s="7"/>
      <c r="P557" s="7"/>
      <c r="Q557" s="7"/>
      <c r="AB557" s="7"/>
    </row>
    <row r="558" spans="1:28" ht="14" x14ac:dyDescent="0.15">
      <c r="A558">
        <f t="shared" si="3"/>
        <v>4</v>
      </c>
      <c r="B558" s="1" t="s">
        <v>921</v>
      </c>
      <c r="C558" s="7" t="s">
        <v>2043</v>
      </c>
      <c r="D558" s="7"/>
      <c r="E558" s="7"/>
      <c r="F558" s="9"/>
      <c r="H558" s="10"/>
      <c r="I558" s="10"/>
      <c r="J558" s="10"/>
      <c r="K558" s="10"/>
      <c r="L558" s="10"/>
      <c r="M558" s="10"/>
      <c r="N558" s="10"/>
      <c r="O558" s="7"/>
      <c r="P558" s="7"/>
      <c r="Q558" s="7"/>
      <c r="AB558" s="7"/>
    </row>
    <row r="559" spans="1:28" ht="14" x14ac:dyDescent="0.15">
      <c r="A559">
        <f t="shared" si="3"/>
        <v>4</v>
      </c>
      <c r="B559" s="1" t="s">
        <v>921</v>
      </c>
      <c r="C559" s="7" t="s">
        <v>2044</v>
      </c>
      <c r="D559" s="7"/>
      <c r="E559" s="7"/>
      <c r="F559" s="9"/>
      <c r="H559" s="10"/>
      <c r="I559" s="10"/>
      <c r="J559" s="10"/>
      <c r="K559" s="10"/>
      <c r="L559" s="10"/>
      <c r="M559" s="10"/>
      <c r="N559" s="10"/>
      <c r="O559" s="7"/>
      <c r="P559" s="7"/>
      <c r="Q559" s="7"/>
      <c r="AB559" s="7"/>
    </row>
    <row r="560" spans="1:28" ht="28" x14ac:dyDescent="0.15">
      <c r="A560">
        <f t="shared" si="3"/>
        <v>4</v>
      </c>
      <c r="B560" s="1" t="s">
        <v>921</v>
      </c>
      <c r="C560" s="7" t="s">
        <v>2045</v>
      </c>
      <c r="D560" s="7"/>
      <c r="E560" s="7"/>
      <c r="F560" s="9"/>
      <c r="H560" s="10"/>
      <c r="I560" s="10"/>
      <c r="J560" s="10"/>
      <c r="K560" s="10"/>
      <c r="L560" s="10"/>
      <c r="M560" s="10"/>
      <c r="N560" s="10"/>
      <c r="O560" s="7"/>
      <c r="P560" s="7"/>
      <c r="Q560" s="7"/>
      <c r="AB560" s="7"/>
    </row>
    <row r="561" spans="1:28" ht="14" x14ac:dyDescent="0.15">
      <c r="A561">
        <f t="shared" si="3"/>
        <v>4</v>
      </c>
      <c r="B561" s="1" t="s">
        <v>921</v>
      </c>
      <c r="C561" s="7"/>
      <c r="D561" s="7" t="s">
        <v>2046</v>
      </c>
      <c r="E561" s="7"/>
      <c r="F561" s="9"/>
      <c r="H561" s="10"/>
      <c r="I561" s="10"/>
      <c r="J561" s="10"/>
      <c r="K561" s="10"/>
      <c r="L561" s="10"/>
      <c r="M561" s="10"/>
      <c r="N561" s="10"/>
      <c r="O561" s="7"/>
      <c r="P561" s="7"/>
      <c r="Q561" s="7"/>
      <c r="AB561" s="7"/>
    </row>
    <row r="562" spans="1:28" ht="14" x14ac:dyDescent="0.15">
      <c r="A562">
        <f t="shared" si="3"/>
        <v>4</v>
      </c>
      <c r="B562" s="1" t="s">
        <v>308</v>
      </c>
      <c r="C562" s="7" t="s">
        <v>2047</v>
      </c>
      <c r="D562" s="7"/>
      <c r="E562" s="7"/>
      <c r="F562" s="9"/>
      <c r="H562" s="10"/>
      <c r="I562" s="10"/>
      <c r="J562" s="10"/>
      <c r="K562" s="10"/>
      <c r="L562" s="10"/>
      <c r="M562" s="10"/>
      <c r="N562" s="10"/>
      <c r="O562" s="7"/>
      <c r="P562" s="7"/>
      <c r="Q562" s="7"/>
      <c r="AB562" s="7"/>
    </row>
    <row r="563" spans="1:28" ht="14" x14ac:dyDescent="0.15">
      <c r="A563">
        <f t="shared" si="3"/>
        <v>4</v>
      </c>
      <c r="B563" s="1" t="s">
        <v>308</v>
      </c>
      <c r="C563" s="7" t="s">
        <v>2048</v>
      </c>
      <c r="D563" s="7"/>
      <c r="E563" s="7"/>
      <c r="F563" s="9"/>
      <c r="H563" s="10"/>
      <c r="I563" s="10"/>
      <c r="J563" s="10"/>
      <c r="K563" s="10"/>
      <c r="L563" s="10"/>
      <c r="M563" s="10"/>
      <c r="N563" s="10"/>
      <c r="O563" s="7"/>
      <c r="P563" s="7"/>
      <c r="Q563" s="7"/>
      <c r="AB563" s="7"/>
    </row>
    <row r="564" spans="1:28" ht="14" x14ac:dyDescent="0.15">
      <c r="A564">
        <f t="shared" si="3"/>
        <v>4</v>
      </c>
      <c r="B564" s="1" t="s">
        <v>1472</v>
      </c>
      <c r="C564" s="7" t="s">
        <v>2049</v>
      </c>
      <c r="D564" s="7"/>
      <c r="E564" s="7"/>
      <c r="F564" s="9"/>
      <c r="H564" s="10"/>
      <c r="I564" s="10"/>
      <c r="J564" s="10"/>
      <c r="K564" s="10"/>
      <c r="L564" s="10"/>
      <c r="M564" s="10"/>
      <c r="N564" s="10"/>
      <c r="O564" s="7"/>
      <c r="P564" s="7"/>
      <c r="Q564" s="7"/>
      <c r="AB564" s="7"/>
    </row>
    <row r="565" spans="1:28" ht="14" x14ac:dyDescent="0.15">
      <c r="A565">
        <f t="shared" si="3"/>
        <v>4</v>
      </c>
      <c r="B565" s="1" t="s">
        <v>1472</v>
      </c>
      <c r="C565" s="7" t="s">
        <v>2050</v>
      </c>
      <c r="D565" s="7"/>
      <c r="E565" s="7"/>
      <c r="F565" s="9"/>
      <c r="H565" s="10"/>
      <c r="I565" s="10"/>
      <c r="J565" s="10"/>
      <c r="K565" s="10"/>
      <c r="L565" s="10"/>
      <c r="M565" s="10"/>
      <c r="N565" s="10"/>
      <c r="O565" s="7"/>
      <c r="P565" s="7"/>
      <c r="Q565" s="7"/>
      <c r="AB565" s="7"/>
    </row>
    <row r="566" spans="1:28" ht="14" x14ac:dyDescent="0.15">
      <c r="A566">
        <f t="shared" si="3"/>
        <v>4</v>
      </c>
      <c r="B566" s="1" t="s">
        <v>1472</v>
      </c>
      <c r="C566" s="7" t="s">
        <v>2051</v>
      </c>
      <c r="D566" s="7"/>
      <c r="E566" s="7"/>
      <c r="F566" s="9"/>
      <c r="H566" s="10"/>
      <c r="I566" s="10"/>
      <c r="J566" s="10"/>
      <c r="K566" s="10"/>
      <c r="L566" s="10"/>
      <c r="M566" s="10"/>
      <c r="N566" s="10"/>
      <c r="O566" s="7"/>
      <c r="P566" s="7"/>
      <c r="Q566" s="7"/>
      <c r="AB566" s="7"/>
    </row>
    <row r="567" spans="1:28" ht="14" x14ac:dyDescent="0.15">
      <c r="A567">
        <f t="shared" si="3"/>
        <v>4</v>
      </c>
      <c r="B567" s="1" t="s">
        <v>1472</v>
      </c>
      <c r="C567" s="7" t="s">
        <v>2052</v>
      </c>
      <c r="D567" s="7"/>
      <c r="E567" s="7"/>
      <c r="F567" s="9"/>
      <c r="H567" s="10"/>
      <c r="I567" s="10"/>
      <c r="J567" s="10"/>
      <c r="K567" s="10"/>
      <c r="L567" s="10"/>
      <c r="M567" s="10"/>
      <c r="N567" s="10"/>
      <c r="O567" s="7"/>
      <c r="P567" s="7"/>
      <c r="Q567" s="7"/>
      <c r="AB567" s="7"/>
    </row>
    <row r="568" spans="1:28" ht="14" x14ac:dyDescent="0.15">
      <c r="A568">
        <f t="shared" si="3"/>
        <v>4</v>
      </c>
      <c r="B568" s="1" t="s">
        <v>1472</v>
      </c>
      <c r="C568" s="7" t="s">
        <v>2053</v>
      </c>
      <c r="D568" s="7"/>
      <c r="E568" s="7"/>
      <c r="F568" s="9"/>
      <c r="H568" s="10"/>
      <c r="I568" s="10"/>
      <c r="J568" s="10"/>
      <c r="K568" s="10"/>
      <c r="L568" s="10"/>
      <c r="M568" s="10"/>
      <c r="N568" s="10"/>
      <c r="O568" s="7"/>
      <c r="P568" s="7"/>
      <c r="Q568" s="7"/>
      <c r="AB568" s="7"/>
    </row>
    <row r="569" spans="1:28" ht="14" x14ac:dyDescent="0.15">
      <c r="A569">
        <f t="shared" si="3"/>
        <v>4</v>
      </c>
      <c r="B569" s="1" t="s">
        <v>1472</v>
      </c>
      <c r="C569" s="7" t="s">
        <v>2054</v>
      </c>
      <c r="D569" s="7"/>
      <c r="E569" s="7"/>
      <c r="F569" s="9"/>
      <c r="H569" s="10"/>
      <c r="I569" s="10"/>
      <c r="J569" s="10"/>
      <c r="K569" s="10"/>
      <c r="L569" s="10"/>
      <c r="M569" s="10"/>
      <c r="N569" s="10"/>
      <c r="O569" s="7"/>
      <c r="P569" s="7"/>
      <c r="Q569" s="7"/>
      <c r="AB569" s="7"/>
    </row>
    <row r="570" spans="1:28" ht="14" x14ac:dyDescent="0.15">
      <c r="A570">
        <f t="shared" si="3"/>
        <v>4</v>
      </c>
      <c r="B570" s="1" t="s">
        <v>1472</v>
      </c>
      <c r="C570" s="7" t="s">
        <v>2055</v>
      </c>
      <c r="D570" s="7"/>
      <c r="E570" s="7"/>
      <c r="F570" s="9"/>
      <c r="H570" s="10"/>
      <c r="I570" s="10"/>
      <c r="J570" s="10"/>
      <c r="K570" s="10"/>
      <c r="L570" s="10"/>
      <c r="M570" s="10"/>
      <c r="N570" s="10"/>
      <c r="O570" s="7"/>
      <c r="P570" s="7"/>
      <c r="Q570" s="7"/>
      <c r="AB570" s="7"/>
    </row>
    <row r="571" spans="1:28" ht="14" x14ac:dyDescent="0.15">
      <c r="A571">
        <f t="shared" si="3"/>
        <v>4</v>
      </c>
      <c r="B571" s="1" t="s">
        <v>1472</v>
      </c>
      <c r="C571" s="7" t="s">
        <v>2056</v>
      </c>
      <c r="D571" s="7"/>
      <c r="E571" s="7"/>
      <c r="F571" s="9"/>
      <c r="H571" s="10"/>
      <c r="I571" s="10"/>
      <c r="J571" s="10"/>
      <c r="K571" s="10"/>
      <c r="L571" s="10"/>
      <c r="M571" s="10"/>
      <c r="N571" s="10"/>
      <c r="O571" s="7"/>
      <c r="P571" s="7"/>
      <c r="Q571" s="7"/>
      <c r="AB571" s="7"/>
    </row>
    <row r="572" spans="1:28" ht="14" x14ac:dyDescent="0.15">
      <c r="A572">
        <f t="shared" si="3"/>
        <v>4</v>
      </c>
      <c r="B572" s="1" t="s">
        <v>1472</v>
      </c>
      <c r="C572" s="7" t="s">
        <v>2057</v>
      </c>
      <c r="D572" s="7"/>
      <c r="E572" s="7"/>
      <c r="F572" s="9"/>
      <c r="H572" s="10"/>
      <c r="I572" s="10"/>
      <c r="J572" s="10"/>
      <c r="K572" s="10"/>
      <c r="L572" s="10"/>
      <c r="M572" s="10"/>
      <c r="N572" s="10"/>
      <c r="O572" s="7"/>
      <c r="P572" s="7"/>
      <c r="Q572" s="7"/>
      <c r="AB572" s="7"/>
    </row>
    <row r="573" spans="1:28" ht="14" x14ac:dyDescent="0.15">
      <c r="A573">
        <f t="shared" si="3"/>
        <v>4</v>
      </c>
      <c r="B573" s="1" t="s">
        <v>1472</v>
      </c>
      <c r="C573" s="7" t="s">
        <v>2058</v>
      </c>
      <c r="D573" s="7"/>
      <c r="E573" s="7"/>
      <c r="F573" s="9"/>
      <c r="H573" s="10"/>
      <c r="I573" s="10"/>
      <c r="J573" s="10"/>
      <c r="K573" s="10"/>
      <c r="L573" s="10"/>
      <c r="M573" s="10"/>
      <c r="N573" s="10"/>
      <c r="O573" s="7"/>
      <c r="P573" s="7"/>
      <c r="Q573" s="7"/>
      <c r="AB573" s="7"/>
    </row>
    <row r="574" spans="1:28" ht="14" x14ac:dyDescent="0.15">
      <c r="A574">
        <f t="shared" si="3"/>
        <v>4</v>
      </c>
      <c r="B574" s="1" t="s">
        <v>1472</v>
      </c>
      <c r="C574" s="7" t="s">
        <v>2059</v>
      </c>
      <c r="D574" s="7"/>
      <c r="E574" s="7"/>
      <c r="F574" s="9"/>
      <c r="H574" s="10"/>
      <c r="I574" s="10"/>
      <c r="J574" s="10"/>
      <c r="K574" s="10"/>
      <c r="L574" s="10"/>
      <c r="M574" s="10"/>
      <c r="N574" s="10"/>
      <c r="O574" s="7"/>
      <c r="P574" s="7"/>
      <c r="Q574" s="7"/>
      <c r="AB574" s="7"/>
    </row>
    <row r="575" spans="1:28" ht="14" x14ac:dyDescent="0.15">
      <c r="A575">
        <f t="shared" si="3"/>
        <v>4</v>
      </c>
      <c r="B575" s="1" t="s">
        <v>1472</v>
      </c>
      <c r="C575" s="7" t="s">
        <v>2060</v>
      </c>
      <c r="D575" s="7"/>
      <c r="E575" s="7"/>
      <c r="F575" s="9"/>
      <c r="H575" s="10"/>
      <c r="I575" s="10"/>
      <c r="J575" s="10"/>
      <c r="K575" s="10"/>
      <c r="L575" s="10"/>
      <c r="M575" s="10"/>
      <c r="N575" s="10"/>
      <c r="O575" s="7"/>
      <c r="P575" s="7"/>
      <c r="Q575" s="7"/>
      <c r="AB575" s="7"/>
    </row>
    <row r="576" spans="1:28" ht="14" x14ac:dyDescent="0.15">
      <c r="A576">
        <f t="shared" si="3"/>
        <v>4</v>
      </c>
      <c r="B576" s="1" t="s">
        <v>1472</v>
      </c>
      <c r="C576" s="7" t="s">
        <v>2061</v>
      </c>
      <c r="D576" s="7"/>
      <c r="E576" s="7"/>
      <c r="F576" s="9"/>
      <c r="H576" s="10"/>
      <c r="I576" s="10"/>
      <c r="J576" s="10"/>
      <c r="K576" s="10"/>
      <c r="L576" s="10"/>
      <c r="M576" s="10"/>
      <c r="N576" s="10"/>
      <c r="O576" s="7"/>
      <c r="P576" s="7"/>
      <c r="Q576" s="7"/>
      <c r="AB576" s="7"/>
    </row>
    <row r="577" spans="1:28" ht="14" x14ac:dyDescent="0.15">
      <c r="A577">
        <f t="shared" si="3"/>
        <v>4</v>
      </c>
      <c r="B577" s="1" t="s">
        <v>1472</v>
      </c>
      <c r="C577" s="7" t="s">
        <v>2062</v>
      </c>
      <c r="D577" s="7"/>
      <c r="E577" s="7"/>
      <c r="F577" s="9"/>
      <c r="H577" s="10"/>
      <c r="I577" s="10"/>
      <c r="J577" s="10"/>
      <c r="K577" s="10"/>
      <c r="L577" s="10"/>
      <c r="M577" s="10"/>
      <c r="N577" s="10"/>
      <c r="O577" s="7"/>
      <c r="P577" s="7"/>
      <c r="Q577" s="7"/>
      <c r="AB577" s="7"/>
    </row>
    <row r="578" spans="1:28" ht="14" x14ac:dyDescent="0.15">
      <c r="A578">
        <f t="shared" si="3"/>
        <v>4</v>
      </c>
      <c r="B578" s="1" t="s">
        <v>1472</v>
      </c>
      <c r="C578" s="7" t="s">
        <v>2063</v>
      </c>
      <c r="D578" s="7"/>
      <c r="E578" s="7"/>
      <c r="F578" s="9"/>
      <c r="H578" s="10"/>
      <c r="I578" s="10"/>
      <c r="J578" s="10"/>
      <c r="K578" s="10"/>
      <c r="L578" s="10"/>
      <c r="M578" s="10"/>
      <c r="N578" s="10"/>
      <c r="O578" s="7"/>
      <c r="P578" s="7"/>
      <c r="Q578" s="7"/>
      <c r="AB578" s="7"/>
    </row>
    <row r="579" spans="1:28" ht="14" x14ac:dyDescent="0.15">
      <c r="A579">
        <f t="shared" si="3"/>
        <v>4</v>
      </c>
      <c r="B579" s="1" t="s">
        <v>1472</v>
      </c>
      <c r="C579" s="7" t="s">
        <v>2064</v>
      </c>
      <c r="D579" s="7"/>
      <c r="E579" s="7"/>
      <c r="F579" s="9"/>
      <c r="H579" s="10"/>
      <c r="I579" s="10"/>
      <c r="J579" s="10"/>
      <c r="K579" s="10"/>
      <c r="L579" s="10"/>
      <c r="M579" s="10"/>
      <c r="N579" s="10"/>
      <c r="O579" s="7"/>
      <c r="P579" s="7"/>
      <c r="Q579" s="7"/>
      <c r="AB579" s="7"/>
    </row>
    <row r="580" spans="1:28" ht="14" x14ac:dyDescent="0.15">
      <c r="A580">
        <f t="shared" si="3"/>
        <v>4</v>
      </c>
      <c r="B580" s="1" t="s">
        <v>366</v>
      </c>
      <c r="C580" s="7" t="s">
        <v>2065</v>
      </c>
      <c r="D580" s="7"/>
      <c r="E580" s="7"/>
      <c r="F580" s="9"/>
      <c r="H580" s="10"/>
      <c r="I580" s="10"/>
      <c r="J580" s="10"/>
      <c r="K580" s="10"/>
      <c r="L580" s="10"/>
      <c r="M580" s="10"/>
      <c r="N580" s="10"/>
      <c r="O580" s="7"/>
      <c r="P580" s="7"/>
      <c r="Q580" s="7"/>
      <c r="AB580" s="7"/>
    </row>
    <row r="581" spans="1:28" ht="28" x14ac:dyDescent="0.15">
      <c r="A581">
        <f t="shared" si="3"/>
        <v>4</v>
      </c>
      <c r="C581" s="7"/>
      <c r="D581" s="7" t="s">
        <v>2066</v>
      </c>
      <c r="E581" s="7" t="s">
        <v>2066</v>
      </c>
      <c r="F581" s="9"/>
      <c r="H581" s="10"/>
      <c r="I581" s="10"/>
      <c r="J581" s="10"/>
      <c r="K581" s="10"/>
      <c r="L581" s="10"/>
      <c r="M581" s="10"/>
      <c r="N581" s="10"/>
      <c r="O581" s="7"/>
      <c r="P581" s="7"/>
      <c r="Q581" s="7"/>
      <c r="AB581" s="7"/>
    </row>
    <row r="582" spans="1:28" ht="14" x14ac:dyDescent="0.15">
      <c r="A582">
        <f t="shared" si="3"/>
        <v>4</v>
      </c>
      <c r="C582" s="7"/>
      <c r="D582" s="7" t="s">
        <v>2067</v>
      </c>
      <c r="E582" s="7"/>
      <c r="F582" s="9"/>
      <c r="G582" s="1" t="s">
        <v>2068</v>
      </c>
      <c r="H582" s="10"/>
      <c r="I582" s="10"/>
      <c r="J582" s="10"/>
      <c r="K582" s="10"/>
      <c r="L582" s="10"/>
      <c r="M582" s="10"/>
      <c r="N582" s="10"/>
      <c r="O582" s="7"/>
      <c r="P582" s="7"/>
      <c r="Q582" s="7"/>
      <c r="AB582" s="7"/>
    </row>
    <row r="583" spans="1:28" ht="14" x14ac:dyDescent="0.15">
      <c r="A583">
        <f t="shared" si="3"/>
        <v>5</v>
      </c>
      <c r="C583" s="7" t="s">
        <v>2069</v>
      </c>
      <c r="D583" s="7"/>
      <c r="E583" s="7"/>
      <c r="F583" s="9"/>
      <c r="H583" s="10"/>
      <c r="I583" s="10"/>
      <c r="J583" s="10"/>
      <c r="K583" s="10"/>
      <c r="L583" s="10"/>
      <c r="M583" s="10"/>
      <c r="N583" s="10"/>
      <c r="O583" s="7"/>
      <c r="P583" s="7"/>
      <c r="Q583" s="7"/>
      <c r="AB583" s="7"/>
    </row>
    <row r="584" spans="1:28" ht="84" x14ac:dyDescent="0.15">
      <c r="A584">
        <f t="shared" si="3"/>
        <v>0</v>
      </c>
      <c r="B584" s="1" t="s">
        <v>302</v>
      </c>
      <c r="C584" s="7" t="s">
        <v>2070</v>
      </c>
      <c r="D584" s="7" t="s">
        <v>2071</v>
      </c>
      <c r="E584" s="7" t="s">
        <v>2072</v>
      </c>
      <c r="F584" s="9" t="s">
        <v>27</v>
      </c>
      <c r="G584" s="1" t="s">
        <v>2073</v>
      </c>
      <c r="H584" s="10">
        <v>4</v>
      </c>
      <c r="I584" s="10"/>
      <c r="J584" s="10"/>
      <c r="K584" s="10"/>
      <c r="L584" s="10"/>
      <c r="M584" s="10">
        <v>4</v>
      </c>
      <c r="N584" s="10"/>
      <c r="O584" s="7">
        <v>10</v>
      </c>
      <c r="P584" s="7"/>
      <c r="Q584" s="7"/>
      <c r="AB584" s="7"/>
    </row>
    <row r="585" spans="1:28" ht="140" x14ac:dyDescent="0.15">
      <c r="A585">
        <f t="shared" si="3"/>
        <v>0</v>
      </c>
      <c r="B585" s="1" t="s">
        <v>366</v>
      </c>
      <c r="C585" s="7" t="s">
        <v>2074</v>
      </c>
      <c r="D585" s="7" t="s">
        <v>2075</v>
      </c>
      <c r="E585" s="7" t="s">
        <v>2076</v>
      </c>
      <c r="F585" s="9" t="s">
        <v>495</v>
      </c>
      <c r="G585" s="1" t="s">
        <v>2077</v>
      </c>
      <c r="H585" s="10"/>
      <c r="I585" s="10"/>
      <c r="J585" s="10"/>
      <c r="K585" s="10"/>
      <c r="L585" s="10"/>
      <c r="M585" s="10"/>
      <c r="N585" s="10"/>
      <c r="O585" s="7">
        <v>10</v>
      </c>
      <c r="P585" s="7">
        <v>25</v>
      </c>
      <c r="Q585" s="7">
        <v>45</v>
      </c>
      <c r="AB585" s="7"/>
    </row>
    <row r="586" spans="1:28" ht="70" x14ac:dyDescent="0.15">
      <c r="A586">
        <f t="shared" si="3"/>
        <v>0</v>
      </c>
      <c r="B586" s="1" t="s">
        <v>302</v>
      </c>
      <c r="C586" s="7" t="s">
        <v>2078</v>
      </c>
      <c r="D586" s="7" t="s">
        <v>2079</v>
      </c>
      <c r="E586" s="7" t="s">
        <v>2080</v>
      </c>
      <c r="F586" s="9" t="s">
        <v>112</v>
      </c>
      <c r="G586" s="1" t="s">
        <v>2081</v>
      </c>
      <c r="H586" s="10"/>
      <c r="I586" s="10"/>
      <c r="J586" s="10"/>
      <c r="K586" s="10"/>
      <c r="L586" s="10"/>
      <c r="M586" s="10"/>
      <c r="N586" s="10"/>
      <c r="O586" s="7">
        <v>40</v>
      </c>
      <c r="P586" s="7"/>
      <c r="Q586" s="7"/>
      <c r="AB586" s="7"/>
    </row>
    <row r="587" spans="1:28" ht="14" x14ac:dyDescent="0.15">
      <c r="A587">
        <f t="shared" si="3"/>
        <v>4</v>
      </c>
      <c r="B587" s="1" t="s">
        <v>1472</v>
      </c>
      <c r="C587" s="7" t="s">
        <v>2082</v>
      </c>
      <c r="D587" s="7"/>
      <c r="E587" s="7"/>
      <c r="F587" s="9"/>
      <c r="H587" s="10"/>
      <c r="I587" s="10"/>
      <c r="J587" s="10"/>
      <c r="K587" s="10"/>
      <c r="L587" s="10"/>
      <c r="M587" s="10"/>
      <c r="N587" s="10"/>
      <c r="O587" s="7"/>
      <c r="P587" s="7"/>
      <c r="Q587" s="7"/>
      <c r="AB587" s="7"/>
    </row>
    <row r="588" spans="1:28" ht="56" x14ac:dyDescent="0.15">
      <c r="A588">
        <f t="shared" si="3"/>
        <v>3</v>
      </c>
      <c r="B588" s="1" t="s">
        <v>302</v>
      </c>
      <c r="C588" s="7" t="s">
        <v>2083</v>
      </c>
      <c r="D588" s="7" t="s">
        <v>2084</v>
      </c>
      <c r="E588" s="7"/>
      <c r="F588" s="9"/>
      <c r="H588" s="10"/>
      <c r="I588" s="10"/>
      <c r="J588" s="10"/>
      <c r="K588" s="10"/>
      <c r="L588" s="10"/>
      <c r="M588" s="10"/>
      <c r="N588" s="10"/>
      <c r="O588" s="7"/>
      <c r="P588" s="7"/>
      <c r="Q588" s="7"/>
      <c r="AB588" s="7"/>
    </row>
    <row r="589" spans="1:28" ht="13" x14ac:dyDescent="0.15">
      <c r="A589">
        <f t="shared" si="3"/>
        <v>6</v>
      </c>
      <c r="C589" s="7"/>
      <c r="D589" s="7"/>
      <c r="E589" s="7"/>
      <c r="F589" s="9"/>
      <c r="H589" s="10"/>
      <c r="I589" s="10"/>
      <c r="J589" s="10"/>
      <c r="K589" s="10"/>
      <c r="L589" s="10"/>
      <c r="M589" s="10"/>
      <c r="N589" s="10"/>
      <c r="O589" s="7"/>
      <c r="P589" s="7"/>
      <c r="Q589" s="7"/>
      <c r="AB589" s="7"/>
    </row>
    <row r="590" spans="1:28" ht="13" x14ac:dyDescent="0.15">
      <c r="A590">
        <f t="shared" si="3"/>
        <v>6</v>
      </c>
      <c r="C590" s="7"/>
      <c r="D590" s="7"/>
      <c r="E590" s="7"/>
      <c r="F590" s="9"/>
      <c r="H590" s="10"/>
      <c r="I590" s="10"/>
      <c r="J590" s="10"/>
      <c r="K590" s="10"/>
      <c r="L590" s="10"/>
      <c r="M590" s="10"/>
      <c r="N590" s="10"/>
      <c r="O590" s="7"/>
      <c r="P590" s="7"/>
      <c r="Q590" s="7"/>
      <c r="AB590" s="7"/>
    </row>
    <row r="591" spans="1:28" ht="14.25" customHeight="1" x14ac:dyDescent="0.15">
      <c r="A591" s="7">
        <f t="shared" si="3"/>
        <v>6</v>
      </c>
      <c r="B591" s="7"/>
      <c r="C591" s="7"/>
      <c r="D591" s="7"/>
      <c r="E591" s="37"/>
      <c r="F591" s="9"/>
      <c r="H591" s="10"/>
      <c r="I591" s="10"/>
      <c r="J591" s="10"/>
      <c r="K591" s="10"/>
      <c r="L591" s="10"/>
      <c r="M591" s="10"/>
      <c r="N591" s="10"/>
      <c r="O591" s="7"/>
      <c r="P591" s="7"/>
      <c r="Q591" s="7"/>
      <c r="AB591" s="7"/>
    </row>
    <row r="592" spans="1:28" ht="224" x14ac:dyDescent="0.15">
      <c r="A592" s="7">
        <f t="shared" si="3"/>
        <v>2</v>
      </c>
      <c r="B592" s="7" t="s">
        <v>302</v>
      </c>
      <c r="C592" s="7" t="s">
        <v>2085</v>
      </c>
      <c r="D592" s="7" t="s">
        <v>2086</v>
      </c>
      <c r="E592" s="37" t="s">
        <v>2087</v>
      </c>
      <c r="F592" s="9"/>
      <c r="H592" s="10"/>
      <c r="I592" s="10"/>
      <c r="J592" s="10"/>
      <c r="K592" s="10"/>
      <c r="L592" s="10"/>
      <c r="M592" s="10"/>
      <c r="N592" s="10"/>
      <c r="O592" s="7"/>
      <c r="P592" s="7"/>
      <c r="Q592" s="7"/>
      <c r="AB592" s="7"/>
    </row>
    <row r="593" spans="1:28" ht="28" x14ac:dyDescent="0.15">
      <c r="A593" s="7">
        <f t="shared" si="3"/>
        <v>0</v>
      </c>
      <c r="B593" s="7" t="s">
        <v>921</v>
      </c>
      <c r="C593" s="7" t="s">
        <v>2088</v>
      </c>
      <c r="D593" s="7" t="s">
        <v>2089</v>
      </c>
      <c r="E593" s="7" t="s">
        <v>2090</v>
      </c>
      <c r="F593" s="9" t="s">
        <v>127</v>
      </c>
      <c r="G593" s="1" t="s">
        <v>2091</v>
      </c>
      <c r="H593" s="10"/>
      <c r="I593" s="10"/>
      <c r="J593" s="10"/>
      <c r="K593" s="10"/>
      <c r="L593" s="10"/>
      <c r="M593" s="10"/>
      <c r="N593" s="10"/>
      <c r="O593" s="7">
        <v>50</v>
      </c>
      <c r="P593" s="7"/>
      <c r="Q593" s="7"/>
      <c r="AB593" s="7"/>
    </row>
    <row r="594" spans="1:28" ht="42" x14ac:dyDescent="0.15">
      <c r="A594" s="7">
        <f t="shared" si="3"/>
        <v>0</v>
      </c>
      <c r="B594" s="7" t="s">
        <v>921</v>
      </c>
      <c r="C594" s="7" t="s">
        <v>2092</v>
      </c>
      <c r="D594" s="7" t="s">
        <v>2093</v>
      </c>
      <c r="E594" s="7" t="s">
        <v>2094</v>
      </c>
      <c r="F594" s="9" t="s">
        <v>107</v>
      </c>
      <c r="G594" s="1" t="s">
        <v>249</v>
      </c>
      <c r="H594" s="10"/>
      <c r="I594" s="10"/>
      <c r="J594" s="10"/>
      <c r="K594" s="10"/>
      <c r="L594" s="10"/>
      <c r="M594" s="10"/>
      <c r="N594" s="10"/>
      <c r="O594" s="7">
        <v>20</v>
      </c>
      <c r="P594" s="7"/>
      <c r="Q594" s="7"/>
      <c r="AB594" s="7"/>
    </row>
    <row r="595" spans="1:28" ht="126" x14ac:dyDescent="0.15">
      <c r="A595" s="7">
        <f t="shared" si="3"/>
        <v>1</v>
      </c>
      <c r="B595" s="7" t="s">
        <v>302</v>
      </c>
      <c r="C595" s="7" t="s">
        <v>2095</v>
      </c>
      <c r="D595" s="7" t="s">
        <v>2096</v>
      </c>
      <c r="E595" s="7" t="s">
        <v>2097</v>
      </c>
      <c r="F595" s="9"/>
      <c r="G595" s="1" t="s">
        <v>1950</v>
      </c>
      <c r="H595" s="10"/>
      <c r="I595" s="10"/>
      <c r="J595" s="10"/>
      <c r="K595" s="10"/>
      <c r="L595" s="10"/>
      <c r="M595" s="10"/>
      <c r="N595" s="10"/>
      <c r="O595" s="7"/>
      <c r="P595" s="7"/>
      <c r="Q595" s="7"/>
      <c r="AB595" s="7"/>
    </row>
    <row r="596" spans="1:28" ht="42" x14ac:dyDescent="0.15">
      <c r="A596" s="7">
        <f t="shared" si="3"/>
        <v>1</v>
      </c>
      <c r="B596" s="7" t="s">
        <v>921</v>
      </c>
      <c r="C596" s="7" t="s">
        <v>2098</v>
      </c>
      <c r="D596" s="7" t="s">
        <v>2099</v>
      </c>
      <c r="E596" s="7" t="s">
        <v>2100</v>
      </c>
      <c r="F596" s="9"/>
      <c r="G596" s="1" t="s">
        <v>1544</v>
      </c>
      <c r="H596" s="10"/>
      <c r="I596" s="10"/>
      <c r="J596" s="10"/>
      <c r="K596" s="10"/>
      <c r="L596" s="10"/>
      <c r="M596" s="10"/>
      <c r="N596" s="10"/>
      <c r="O596" s="7"/>
      <c r="P596" s="7"/>
      <c r="Q596" s="7"/>
      <c r="AB596" s="7"/>
    </row>
    <row r="597" spans="1:28" ht="196" x14ac:dyDescent="0.15">
      <c r="A597" s="7">
        <f t="shared" si="3"/>
        <v>1</v>
      </c>
      <c r="B597" s="7" t="s">
        <v>302</v>
      </c>
      <c r="C597" s="7" t="s">
        <v>2101</v>
      </c>
      <c r="D597" s="7" t="s">
        <v>2102</v>
      </c>
      <c r="E597" s="7" t="s">
        <v>2103</v>
      </c>
      <c r="F597" s="9"/>
      <c r="G597" s="1" t="s">
        <v>1517</v>
      </c>
      <c r="H597" s="10"/>
      <c r="I597" s="10"/>
      <c r="J597" s="10"/>
      <c r="K597" s="10"/>
      <c r="L597" s="10"/>
      <c r="M597" s="10"/>
      <c r="N597" s="10"/>
      <c r="O597" s="7"/>
      <c r="P597" s="7"/>
      <c r="Q597" s="7"/>
      <c r="AB597" s="7"/>
    </row>
    <row r="598" spans="1:28" ht="56" x14ac:dyDescent="0.15">
      <c r="A598" s="7">
        <f t="shared" si="3"/>
        <v>1</v>
      </c>
      <c r="B598" s="7" t="s">
        <v>921</v>
      </c>
      <c r="C598" s="7" t="s">
        <v>2104</v>
      </c>
      <c r="D598" s="7" t="s">
        <v>2105</v>
      </c>
      <c r="E598" s="7" t="s">
        <v>2106</v>
      </c>
      <c r="F598" s="9"/>
      <c r="G598" s="1" t="s">
        <v>2011</v>
      </c>
      <c r="H598" s="10"/>
      <c r="I598" s="10"/>
      <c r="J598" s="10"/>
      <c r="K598" s="10"/>
      <c r="L598" s="10"/>
      <c r="M598" s="10"/>
      <c r="N598" s="10"/>
      <c r="O598" s="7"/>
      <c r="P598" s="7"/>
      <c r="Q598" s="7"/>
      <c r="AB598" s="7"/>
    </row>
    <row r="599" spans="1:28" ht="266" x14ac:dyDescent="0.15">
      <c r="A599" s="7">
        <f t="shared" si="3"/>
        <v>2</v>
      </c>
      <c r="B599" s="7" t="s">
        <v>129</v>
      </c>
      <c r="C599" s="7" t="s">
        <v>2107</v>
      </c>
      <c r="D599" s="7" t="s">
        <v>2108</v>
      </c>
      <c r="E599" s="7" t="s">
        <v>2109</v>
      </c>
      <c r="F599" s="9"/>
      <c r="H599" s="10"/>
      <c r="I599" s="10"/>
      <c r="J599" s="10"/>
      <c r="K599" s="10"/>
      <c r="L599" s="10"/>
      <c r="M599" s="10"/>
      <c r="N599" s="10"/>
      <c r="O599" s="7"/>
      <c r="P599" s="7"/>
      <c r="Q599" s="7"/>
      <c r="AB599" s="7"/>
    </row>
    <row r="600" spans="1:28" ht="98" x14ac:dyDescent="0.15">
      <c r="A600" s="7">
        <f t="shared" si="3"/>
        <v>2</v>
      </c>
      <c r="B600" s="7" t="s">
        <v>302</v>
      </c>
      <c r="C600" s="7" t="s">
        <v>2110</v>
      </c>
      <c r="D600" s="7" t="s">
        <v>2111</v>
      </c>
      <c r="E600" s="7" t="s">
        <v>2112</v>
      </c>
      <c r="F600" s="9"/>
      <c r="H600" s="10"/>
      <c r="I600" s="10"/>
      <c r="J600" s="10"/>
      <c r="K600" s="10"/>
      <c r="L600" s="10"/>
      <c r="M600" s="10"/>
      <c r="N600" s="10"/>
      <c r="O600" s="7"/>
      <c r="P600" s="7"/>
      <c r="Q600" s="7"/>
      <c r="AB600" s="7"/>
    </row>
    <row r="601" spans="1:28" ht="56" x14ac:dyDescent="0.15">
      <c r="A601" s="7">
        <f t="shared" si="3"/>
        <v>2</v>
      </c>
      <c r="B601" s="7" t="s">
        <v>921</v>
      </c>
      <c r="C601" s="7" t="s">
        <v>2113</v>
      </c>
      <c r="D601" s="7" t="s">
        <v>2114</v>
      </c>
      <c r="E601" s="7" t="s">
        <v>2115</v>
      </c>
      <c r="F601" s="9"/>
      <c r="H601" s="10"/>
      <c r="I601" s="10"/>
      <c r="J601" s="10"/>
      <c r="K601" s="10"/>
      <c r="L601" s="10"/>
      <c r="M601" s="10"/>
      <c r="N601" s="10"/>
      <c r="O601" s="7"/>
      <c r="P601" s="7"/>
      <c r="Q601" s="7"/>
      <c r="AB601" s="7"/>
    </row>
    <row r="602" spans="1:28" ht="140" x14ac:dyDescent="0.15">
      <c r="A602" s="7">
        <f t="shared" si="3"/>
        <v>0</v>
      </c>
      <c r="B602" s="7" t="s">
        <v>921</v>
      </c>
      <c r="C602" s="7" t="s">
        <v>2116</v>
      </c>
      <c r="D602" s="7" t="s">
        <v>2117</v>
      </c>
      <c r="E602" s="7" t="s">
        <v>2118</v>
      </c>
      <c r="F602" s="9" t="s">
        <v>185</v>
      </c>
      <c r="G602" s="1" t="s">
        <v>394</v>
      </c>
      <c r="H602" s="10"/>
      <c r="I602" s="10"/>
      <c r="J602" s="10"/>
      <c r="K602" s="10"/>
      <c r="L602" s="10"/>
      <c r="M602" s="10"/>
      <c r="N602" s="10"/>
      <c r="O602" s="7"/>
      <c r="P602" s="7"/>
      <c r="Q602" s="7"/>
      <c r="AB602" s="7"/>
    </row>
    <row r="603" spans="1:28" ht="126" x14ac:dyDescent="0.15">
      <c r="A603" s="7">
        <f t="shared" si="3"/>
        <v>0</v>
      </c>
      <c r="B603" s="7" t="s">
        <v>1472</v>
      </c>
      <c r="C603" s="7" t="s">
        <v>2119</v>
      </c>
      <c r="D603" s="7" t="s">
        <v>2120</v>
      </c>
      <c r="E603" s="7" t="s">
        <v>2121</v>
      </c>
      <c r="F603" s="9" t="s">
        <v>39</v>
      </c>
      <c r="G603" s="1" t="s">
        <v>2122</v>
      </c>
      <c r="H603" s="10"/>
      <c r="I603" s="10"/>
      <c r="J603" s="10"/>
      <c r="K603" s="10"/>
      <c r="L603" s="10"/>
      <c r="M603" s="10"/>
      <c r="N603" s="10"/>
      <c r="O603" s="7"/>
      <c r="P603" s="7"/>
      <c r="Q603" s="7"/>
      <c r="AB603" s="7"/>
    </row>
    <row r="604" spans="1:28" ht="238" x14ac:dyDescent="0.15">
      <c r="A604" s="7">
        <f t="shared" si="3"/>
        <v>0</v>
      </c>
      <c r="B604" s="7" t="s">
        <v>1472</v>
      </c>
      <c r="C604" s="7" t="s">
        <v>2123</v>
      </c>
      <c r="D604" s="7" t="s">
        <v>2124</v>
      </c>
      <c r="E604" s="7" t="s">
        <v>2125</v>
      </c>
      <c r="F604" s="9" t="s">
        <v>39</v>
      </c>
      <c r="G604" s="1" t="s">
        <v>2126</v>
      </c>
      <c r="H604" s="10"/>
      <c r="I604" s="10"/>
      <c r="J604" s="10"/>
      <c r="K604" s="10"/>
      <c r="L604" s="10"/>
      <c r="M604" s="10"/>
      <c r="N604" s="10"/>
      <c r="O604" s="7"/>
      <c r="P604" s="7"/>
      <c r="Q604" s="7"/>
      <c r="AB604" s="7"/>
    </row>
    <row r="605" spans="1:28" ht="13" x14ac:dyDescent="0.15">
      <c r="A605" s="7">
        <f t="shared" si="3"/>
        <v>6</v>
      </c>
      <c r="B605" s="7"/>
      <c r="C605" s="7"/>
      <c r="D605" s="7"/>
      <c r="E605" s="7"/>
      <c r="F605" s="9"/>
      <c r="H605" s="10"/>
      <c r="I605" s="10"/>
      <c r="J605" s="10"/>
      <c r="K605" s="10"/>
      <c r="L605" s="10"/>
      <c r="M605" s="10"/>
      <c r="N605" s="10"/>
      <c r="O605" s="7"/>
      <c r="P605" s="7"/>
      <c r="Q605" s="7"/>
      <c r="AB605" s="7"/>
    </row>
    <row r="606" spans="1:28" ht="13" x14ac:dyDescent="0.15">
      <c r="A606" s="7">
        <f t="shared" si="3"/>
        <v>6</v>
      </c>
      <c r="B606" s="7"/>
      <c r="C606" s="7"/>
      <c r="D606" s="7"/>
      <c r="E606" s="7"/>
      <c r="F606" s="9"/>
      <c r="H606" s="10"/>
      <c r="I606" s="10"/>
      <c r="J606" s="10"/>
      <c r="K606" s="10"/>
      <c r="L606" s="10"/>
      <c r="M606" s="10"/>
      <c r="N606" s="10"/>
      <c r="O606" s="7"/>
      <c r="P606" s="7"/>
      <c r="Q606" s="7"/>
      <c r="AB606" s="7"/>
    </row>
    <row r="607" spans="1:28" ht="13" x14ac:dyDescent="0.15">
      <c r="A607" s="7">
        <f t="shared" si="3"/>
        <v>6</v>
      </c>
      <c r="B607" s="7"/>
      <c r="C607" s="7"/>
      <c r="D607" s="7"/>
      <c r="E607" s="7"/>
      <c r="F607" s="9"/>
      <c r="H607" s="10"/>
      <c r="I607" s="10"/>
      <c r="J607" s="10"/>
      <c r="K607" s="10"/>
      <c r="L607" s="10"/>
      <c r="M607" s="10"/>
      <c r="N607" s="10"/>
      <c r="O607" s="7"/>
      <c r="P607" s="7"/>
      <c r="Q607" s="7"/>
      <c r="AB607" s="7"/>
    </row>
    <row r="608" spans="1:28" ht="13" x14ac:dyDescent="0.15">
      <c r="A608" s="7">
        <f t="shared" si="3"/>
        <v>6</v>
      </c>
      <c r="B608" s="7"/>
      <c r="C608" s="7"/>
      <c r="D608" s="7"/>
      <c r="E608" s="7"/>
      <c r="F608" s="9"/>
      <c r="H608" s="10"/>
      <c r="I608" s="10"/>
      <c r="J608" s="10"/>
      <c r="K608" s="10"/>
      <c r="L608" s="10"/>
      <c r="M608" s="10"/>
      <c r="N608" s="10"/>
      <c r="O608" s="7"/>
      <c r="P608" s="7"/>
      <c r="Q608" s="7"/>
      <c r="AB608" s="7"/>
    </row>
    <row r="609" spans="1:28" ht="13" x14ac:dyDescent="0.15">
      <c r="A609" s="7">
        <f t="shared" si="3"/>
        <v>6</v>
      </c>
      <c r="B609" s="7"/>
      <c r="C609" s="7"/>
      <c r="D609" s="7"/>
      <c r="E609" s="7"/>
      <c r="F609" s="9"/>
      <c r="H609" s="10"/>
      <c r="I609" s="10"/>
      <c r="J609" s="10"/>
      <c r="K609" s="10"/>
      <c r="L609" s="10"/>
      <c r="M609" s="10"/>
      <c r="N609" s="10"/>
      <c r="O609" s="7"/>
      <c r="P609" s="7"/>
      <c r="Q609" s="7"/>
      <c r="AB609" s="7"/>
    </row>
    <row r="610" spans="1:28" ht="13" x14ac:dyDescent="0.15">
      <c r="A610" s="7">
        <f t="shared" si="3"/>
        <v>6</v>
      </c>
      <c r="B610" s="7"/>
      <c r="C610" s="7"/>
      <c r="D610" s="7"/>
      <c r="E610" s="7"/>
      <c r="F610" s="9"/>
      <c r="H610" s="10"/>
      <c r="I610" s="10"/>
      <c r="J610" s="10"/>
      <c r="K610" s="10"/>
      <c r="L610" s="10"/>
      <c r="M610" s="10"/>
      <c r="N610" s="10"/>
      <c r="O610" s="7"/>
      <c r="P610" s="7"/>
      <c r="Q610" s="7"/>
      <c r="AB610" s="7"/>
    </row>
    <row r="611" spans="1:28" ht="13" x14ac:dyDescent="0.15">
      <c r="A611" s="7">
        <f t="shared" si="3"/>
        <v>6</v>
      </c>
      <c r="B611" s="7"/>
      <c r="C611" s="7"/>
      <c r="D611" s="7"/>
      <c r="E611" s="7"/>
      <c r="F611" s="9"/>
      <c r="H611" s="10"/>
      <c r="I611" s="10"/>
      <c r="J611" s="10"/>
      <c r="K611" s="10"/>
      <c r="L611" s="10"/>
      <c r="M611" s="10"/>
      <c r="N611" s="10"/>
      <c r="O611" s="7"/>
      <c r="P611" s="7"/>
      <c r="Q611" s="7"/>
      <c r="AB611" s="7"/>
    </row>
    <row r="612" spans="1:28" ht="13" x14ac:dyDescent="0.15">
      <c r="A612" s="7">
        <f t="shared" si="3"/>
        <v>6</v>
      </c>
      <c r="B612" s="7"/>
      <c r="C612" s="7"/>
      <c r="D612" s="7"/>
      <c r="E612" s="7"/>
      <c r="F612" s="9"/>
      <c r="H612" s="10"/>
      <c r="I612" s="10"/>
      <c r="J612" s="10"/>
      <c r="K612" s="10"/>
      <c r="L612" s="10"/>
      <c r="M612" s="10"/>
      <c r="N612" s="10"/>
      <c r="O612" s="7"/>
      <c r="P612" s="7"/>
      <c r="Q612" s="7"/>
      <c r="AB612" s="7"/>
    </row>
    <row r="613" spans="1:28" ht="13" x14ac:dyDescent="0.15">
      <c r="A613" s="7">
        <f t="shared" si="3"/>
        <v>6</v>
      </c>
      <c r="B613" s="7"/>
      <c r="C613" s="7"/>
      <c r="D613" s="7"/>
      <c r="E613" s="7"/>
      <c r="F613" s="9"/>
      <c r="H613" s="10"/>
      <c r="I613" s="10"/>
      <c r="J613" s="10"/>
      <c r="K613" s="10"/>
      <c r="L613" s="10"/>
      <c r="M613" s="10"/>
      <c r="N613" s="10"/>
      <c r="O613" s="7"/>
      <c r="P613" s="7"/>
      <c r="Q613" s="7"/>
      <c r="AB613" s="7"/>
    </row>
    <row r="614" spans="1:28" ht="13" x14ac:dyDescent="0.15">
      <c r="A614" s="7">
        <f t="shared" si="3"/>
        <v>6</v>
      </c>
      <c r="B614" s="7"/>
      <c r="C614" s="7"/>
      <c r="D614" s="7"/>
      <c r="E614" s="7"/>
      <c r="F614" s="9"/>
      <c r="H614" s="10"/>
      <c r="I614" s="10"/>
      <c r="J614" s="10"/>
      <c r="K614" s="10"/>
      <c r="L614" s="10"/>
      <c r="M614" s="10"/>
      <c r="N614" s="10"/>
      <c r="O614" s="7"/>
      <c r="P614" s="7"/>
      <c r="Q614" s="7"/>
      <c r="AB614" s="7"/>
    </row>
    <row r="615" spans="1:28" ht="13" x14ac:dyDescent="0.15">
      <c r="A615" s="7">
        <f t="shared" si="3"/>
        <v>6</v>
      </c>
      <c r="B615" s="7"/>
      <c r="C615" s="7"/>
      <c r="D615" s="7"/>
      <c r="E615" s="7"/>
      <c r="F615" s="9"/>
      <c r="H615" s="10"/>
      <c r="I615" s="10"/>
      <c r="J615" s="10"/>
      <c r="K615" s="10"/>
      <c r="L615" s="10"/>
      <c r="M615" s="10"/>
      <c r="N615" s="10"/>
      <c r="O615" s="7"/>
      <c r="P615" s="7"/>
      <c r="Q615" s="7"/>
      <c r="AB615" s="7"/>
    </row>
    <row r="616" spans="1:28" ht="13" x14ac:dyDescent="0.15">
      <c r="A616" s="7">
        <f t="shared" si="3"/>
        <v>6</v>
      </c>
      <c r="B616" s="7"/>
      <c r="C616" s="7"/>
      <c r="D616" s="7"/>
      <c r="E616" s="7"/>
      <c r="F616" s="9"/>
      <c r="H616" s="10"/>
      <c r="I616" s="10"/>
      <c r="J616" s="10"/>
      <c r="K616" s="10"/>
      <c r="L616" s="10"/>
      <c r="M616" s="10"/>
      <c r="N616" s="10"/>
      <c r="O616" s="7"/>
      <c r="P616" s="7"/>
      <c r="Q616" s="7"/>
      <c r="AB616" s="7"/>
    </row>
    <row r="617" spans="1:28" ht="13" x14ac:dyDescent="0.15">
      <c r="A617" s="7">
        <f t="shared" si="3"/>
        <v>6</v>
      </c>
      <c r="B617" s="7"/>
      <c r="C617" s="7"/>
      <c r="D617" s="7"/>
      <c r="E617" s="7"/>
      <c r="F617" s="9"/>
      <c r="H617" s="10"/>
      <c r="I617" s="10"/>
      <c r="J617" s="10"/>
      <c r="K617" s="10"/>
      <c r="L617" s="10"/>
      <c r="M617" s="10"/>
      <c r="N617" s="10"/>
      <c r="O617" s="7"/>
      <c r="P617" s="7"/>
      <c r="Q617" s="7"/>
      <c r="AB617" s="7"/>
    </row>
    <row r="618" spans="1:28" ht="13" x14ac:dyDescent="0.15">
      <c r="A618" s="7">
        <f t="shared" si="3"/>
        <v>6</v>
      </c>
      <c r="B618" s="7"/>
      <c r="C618" s="7"/>
      <c r="D618" s="7"/>
      <c r="E618" s="7"/>
      <c r="F618" s="9"/>
      <c r="H618" s="10"/>
      <c r="I618" s="10"/>
      <c r="J618" s="10"/>
      <c r="K618" s="10"/>
      <c r="L618" s="10"/>
      <c r="M618" s="10"/>
      <c r="N618" s="10"/>
      <c r="O618" s="7"/>
      <c r="P618" s="7"/>
      <c r="Q618" s="7"/>
      <c r="AB618" s="7"/>
    </row>
    <row r="619" spans="1:28" ht="13" x14ac:dyDescent="0.15">
      <c r="A619" s="7">
        <f t="shared" si="3"/>
        <v>6</v>
      </c>
      <c r="B619" s="7"/>
      <c r="C619" s="7"/>
      <c r="D619" s="7"/>
      <c r="E619" s="7"/>
      <c r="F619" s="9"/>
      <c r="H619" s="10"/>
      <c r="I619" s="10"/>
      <c r="J619" s="10"/>
      <c r="K619" s="10"/>
      <c r="L619" s="10"/>
      <c r="M619" s="10"/>
      <c r="N619" s="10"/>
      <c r="O619" s="7"/>
      <c r="P619" s="7"/>
      <c r="Q619" s="7"/>
      <c r="AB619" s="7"/>
    </row>
    <row r="620" spans="1:28" ht="13" x14ac:dyDescent="0.15">
      <c r="A620" s="7">
        <f t="shared" si="3"/>
        <v>6</v>
      </c>
      <c r="B620" s="7"/>
      <c r="C620" s="7"/>
      <c r="D620" s="7"/>
      <c r="E620" s="7"/>
      <c r="F620" s="9"/>
      <c r="H620" s="10"/>
      <c r="I620" s="10"/>
      <c r="J620" s="10"/>
      <c r="K620" s="10"/>
      <c r="L620" s="10"/>
      <c r="M620" s="10"/>
      <c r="N620" s="10"/>
      <c r="O620" s="7"/>
      <c r="P620" s="7"/>
      <c r="Q620" s="7"/>
      <c r="AB620" s="7"/>
    </row>
    <row r="621" spans="1:28" ht="13" x14ac:dyDescent="0.15">
      <c r="A621" s="7">
        <f t="shared" si="3"/>
        <v>6</v>
      </c>
      <c r="B621" s="7"/>
      <c r="C621" s="7"/>
      <c r="D621" s="7"/>
      <c r="E621" s="7"/>
      <c r="F621" s="9"/>
      <c r="H621" s="10"/>
      <c r="I621" s="10"/>
      <c r="J621" s="10"/>
      <c r="K621" s="10"/>
      <c r="L621" s="10"/>
      <c r="M621" s="10"/>
      <c r="N621" s="10"/>
      <c r="O621" s="7"/>
      <c r="P621" s="7"/>
      <c r="Q621" s="7"/>
      <c r="AB621" s="7"/>
    </row>
    <row r="622" spans="1:28" ht="13" x14ac:dyDescent="0.15">
      <c r="A622" s="7">
        <f t="shared" si="3"/>
        <v>6</v>
      </c>
      <c r="B622" s="7"/>
      <c r="C622" s="7"/>
      <c r="D622" s="7"/>
      <c r="E622" s="7"/>
      <c r="F622" s="9"/>
      <c r="H622" s="10"/>
      <c r="I622" s="10"/>
      <c r="J622" s="10"/>
      <c r="K622" s="10"/>
      <c r="L622" s="10"/>
      <c r="M622" s="10"/>
      <c r="N622" s="10"/>
      <c r="O622" s="7"/>
      <c r="P622" s="7"/>
      <c r="Q622" s="7"/>
      <c r="AB622" s="7"/>
    </row>
    <row r="623" spans="1:28" ht="13" x14ac:dyDescent="0.15">
      <c r="A623" s="7">
        <f t="shared" si="3"/>
        <v>6</v>
      </c>
      <c r="B623" s="7"/>
      <c r="C623" s="7"/>
      <c r="D623" s="7"/>
      <c r="E623" s="7"/>
      <c r="F623" s="9"/>
      <c r="H623" s="10"/>
      <c r="I623" s="10"/>
      <c r="J623" s="10"/>
      <c r="K623" s="10"/>
      <c r="L623" s="10"/>
      <c r="M623" s="10"/>
      <c r="N623" s="10"/>
      <c r="O623" s="7"/>
      <c r="P623" s="7"/>
      <c r="Q623" s="7"/>
      <c r="AB623" s="7"/>
    </row>
    <row r="624" spans="1:28" ht="13" x14ac:dyDescent="0.15">
      <c r="A624" s="7">
        <f t="shared" si="3"/>
        <v>6</v>
      </c>
      <c r="B624" s="7"/>
      <c r="C624" s="7"/>
      <c r="D624" s="7"/>
      <c r="E624" s="7"/>
      <c r="F624" s="9"/>
      <c r="H624" s="10"/>
      <c r="I624" s="10"/>
      <c r="J624" s="10"/>
      <c r="K624" s="10"/>
      <c r="L624" s="10"/>
      <c r="M624" s="10"/>
      <c r="N624" s="10"/>
      <c r="O624" s="7"/>
      <c r="P624" s="7"/>
      <c r="Q624" s="7"/>
      <c r="AB624" s="7"/>
    </row>
    <row r="625" spans="1:28" ht="13" x14ac:dyDescent="0.15">
      <c r="A625" s="7">
        <f t="shared" si="3"/>
        <v>6</v>
      </c>
      <c r="B625" s="7"/>
      <c r="C625" s="7"/>
      <c r="D625" s="7"/>
      <c r="E625" s="7"/>
      <c r="F625" s="9"/>
      <c r="H625" s="10"/>
      <c r="I625" s="10"/>
      <c r="J625" s="10"/>
      <c r="K625" s="10"/>
      <c r="L625" s="10"/>
      <c r="M625" s="10"/>
      <c r="N625" s="10"/>
      <c r="O625" s="7"/>
      <c r="P625" s="7"/>
      <c r="Q625" s="7"/>
      <c r="AB625" s="7"/>
    </row>
    <row r="626" spans="1:28" ht="13" x14ac:dyDescent="0.15">
      <c r="A626" s="7">
        <f t="shared" si="3"/>
        <v>6</v>
      </c>
      <c r="B626" s="7"/>
      <c r="C626" s="7"/>
      <c r="D626" s="7"/>
      <c r="E626" s="7"/>
      <c r="F626" s="9"/>
      <c r="H626" s="10"/>
      <c r="I626" s="10"/>
      <c r="J626" s="10"/>
      <c r="K626" s="10"/>
      <c r="L626" s="10"/>
      <c r="M626" s="10"/>
      <c r="N626" s="10"/>
      <c r="O626" s="7"/>
      <c r="P626" s="7"/>
      <c r="Q626" s="7"/>
      <c r="AB626" s="7"/>
    </row>
    <row r="627" spans="1:28" ht="13" x14ac:dyDescent="0.15">
      <c r="A627" s="7">
        <f t="shared" si="3"/>
        <v>6</v>
      </c>
      <c r="B627" s="7"/>
      <c r="C627" s="7"/>
      <c r="D627" s="7"/>
      <c r="E627" s="7"/>
      <c r="F627" s="9"/>
      <c r="H627" s="10"/>
      <c r="I627" s="10"/>
      <c r="J627" s="10"/>
      <c r="K627" s="10"/>
      <c r="L627" s="10"/>
      <c r="M627" s="10"/>
      <c r="N627" s="10"/>
      <c r="O627" s="7"/>
      <c r="P627" s="7"/>
      <c r="Q627" s="7"/>
      <c r="AB627" s="7"/>
    </row>
    <row r="628" spans="1:28" ht="13" x14ac:dyDescent="0.15">
      <c r="A628" s="7">
        <f t="shared" si="3"/>
        <v>6</v>
      </c>
      <c r="B628" s="7"/>
      <c r="C628" s="7"/>
      <c r="D628" s="7"/>
      <c r="E628" s="7"/>
      <c r="F628" s="9"/>
      <c r="H628" s="10"/>
      <c r="I628" s="10"/>
      <c r="J628" s="10"/>
      <c r="K628" s="10"/>
      <c r="L628" s="10"/>
      <c r="M628" s="10"/>
      <c r="N628" s="10"/>
      <c r="O628" s="7"/>
      <c r="P628" s="7"/>
      <c r="Q628" s="7"/>
      <c r="AB628" s="7"/>
    </row>
    <row r="629" spans="1:28" ht="13" x14ac:dyDescent="0.15">
      <c r="A629" s="7">
        <f t="shared" si="3"/>
        <v>6</v>
      </c>
      <c r="B629" s="7"/>
      <c r="C629" s="7"/>
      <c r="D629" s="7"/>
      <c r="E629" s="7"/>
      <c r="F629" s="9"/>
      <c r="H629" s="10"/>
      <c r="I629" s="10"/>
      <c r="J629" s="10"/>
      <c r="K629" s="10"/>
      <c r="L629" s="10"/>
      <c r="M629" s="10"/>
      <c r="N629" s="10"/>
      <c r="O629" s="7"/>
      <c r="P629" s="7"/>
      <c r="Q629" s="7"/>
      <c r="AB629" s="7"/>
    </row>
    <row r="630" spans="1:28" ht="13" x14ac:dyDescent="0.15">
      <c r="A630" s="7">
        <f t="shared" si="3"/>
        <v>6</v>
      </c>
      <c r="B630" s="7"/>
      <c r="C630" s="7"/>
      <c r="D630" s="7"/>
      <c r="E630" s="7"/>
      <c r="F630" s="9"/>
      <c r="H630" s="10"/>
      <c r="I630" s="10"/>
      <c r="J630" s="10"/>
      <c r="K630" s="10"/>
      <c r="L630" s="10"/>
      <c r="M630" s="10"/>
      <c r="N630" s="10"/>
      <c r="O630" s="7"/>
      <c r="P630" s="7"/>
      <c r="Q630" s="7"/>
      <c r="AB630" s="7"/>
    </row>
    <row r="631" spans="1:28" ht="13" x14ac:dyDescent="0.15">
      <c r="A631" s="7">
        <f t="shared" si="3"/>
        <v>6</v>
      </c>
      <c r="B631" s="7"/>
      <c r="C631" s="7"/>
      <c r="D631" s="7"/>
      <c r="E631" s="7"/>
      <c r="F631" s="9"/>
      <c r="H631" s="10"/>
      <c r="I631" s="10"/>
      <c r="J631" s="10"/>
      <c r="K631" s="10"/>
      <c r="L631" s="10"/>
      <c r="M631" s="10"/>
      <c r="N631" s="10"/>
      <c r="O631" s="7"/>
      <c r="P631" s="7"/>
      <c r="Q631" s="7"/>
      <c r="AB631" s="7"/>
    </row>
    <row r="632" spans="1:28" ht="13" x14ac:dyDescent="0.15">
      <c r="A632" s="7">
        <f t="shared" si="3"/>
        <v>6</v>
      </c>
      <c r="B632" s="7"/>
      <c r="C632" s="7"/>
      <c r="D632" s="7"/>
      <c r="E632" s="7"/>
      <c r="F632" s="9"/>
      <c r="H632" s="10"/>
      <c r="I632" s="10"/>
      <c r="J632" s="10"/>
      <c r="K632" s="10"/>
      <c r="L632" s="10"/>
      <c r="M632" s="10"/>
      <c r="N632" s="10"/>
      <c r="O632" s="7"/>
      <c r="P632" s="7"/>
      <c r="Q632" s="7"/>
      <c r="AB632" s="7"/>
    </row>
    <row r="633" spans="1:28" ht="13" x14ac:dyDescent="0.15">
      <c r="A633" s="7">
        <f t="shared" si="3"/>
        <v>6</v>
      </c>
      <c r="B633" s="7"/>
      <c r="C633" s="7"/>
      <c r="D633" s="7"/>
      <c r="E633" s="7"/>
      <c r="F633" s="9"/>
      <c r="H633" s="10"/>
      <c r="I633" s="10"/>
      <c r="J633" s="10"/>
      <c r="K633" s="10"/>
      <c r="L633" s="10"/>
      <c r="M633" s="10"/>
      <c r="N633" s="10"/>
      <c r="O633" s="7"/>
      <c r="P633" s="7"/>
      <c r="Q633" s="7"/>
      <c r="AB633" s="7"/>
    </row>
    <row r="634" spans="1:28" ht="13" x14ac:dyDescent="0.15">
      <c r="A634" s="7">
        <f t="shared" si="3"/>
        <v>6</v>
      </c>
      <c r="B634" s="7"/>
      <c r="C634" s="7"/>
      <c r="D634" s="7"/>
      <c r="E634" s="7"/>
      <c r="F634" s="9"/>
      <c r="H634" s="10"/>
      <c r="I634" s="10"/>
      <c r="J634" s="10"/>
      <c r="K634" s="10"/>
      <c r="L634" s="10"/>
      <c r="M634" s="10"/>
      <c r="N634" s="10"/>
      <c r="O634" s="7"/>
      <c r="P634" s="7"/>
      <c r="Q634" s="7"/>
      <c r="AB634" s="7"/>
    </row>
    <row r="635" spans="1:28" ht="13" x14ac:dyDescent="0.15">
      <c r="A635" s="7">
        <f t="shared" si="3"/>
        <v>6</v>
      </c>
      <c r="B635" s="7"/>
      <c r="C635" s="7"/>
      <c r="D635" s="7"/>
      <c r="E635" s="7"/>
      <c r="F635" s="9"/>
      <c r="H635" s="10"/>
      <c r="I635" s="10"/>
      <c r="J635" s="10"/>
      <c r="K635" s="10"/>
      <c r="L635" s="10"/>
      <c r="M635" s="10"/>
      <c r="N635" s="10"/>
      <c r="O635" s="7"/>
      <c r="P635" s="7"/>
      <c r="Q635" s="7"/>
      <c r="AB635" s="7"/>
    </row>
    <row r="636" spans="1:28" ht="13" x14ac:dyDescent="0.15">
      <c r="A636" s="7">
        <f t="shared" si="3"/>
        <v>6</v>
      </c>
      <c r="B636" s="7"/>
      <c r="C636" s="7"/>
      <c r="D636" s="7"/>
      <c r="E636" s="7"/>
      <c r="F636" s="9"/>
      <c r="H636" s="10"/>
      <c r="I636" s="10"/>
      <c r="J636" s="10"/>
      <c r="K636" s="10"/>
      <c r="L636" s="10"/>
      <c r="M636" s="10"/>
      <c r="N636" s="10"/>
      <c r="O636" s="7"/>
      <c r="P636" s="7"/>
      <c r="Q636" s="7"/>
      <c r="AB636" s="7"/>
    </row>
    <row r="637" spans="1:28" ht="13" x14ac:dyDescent="0.15">
      <c r="A637" s="7">
        <f t="shared" si="3"/>
        <v>6</v>
      </c>
      <c r="B637" s="7"/>
      <c r="C637" s="7"/>
      <c r="D637" s="7"/>
      <c r="E637" s="7"/>
      <c r="F637" s="9"/>
      <c r="H637" s="10"/>
      <c r="I637" s="10"/>
      <c r="J637" s="10"/>
      <c r="K637" s="10"/>
      <c r="L637" s="10"/>
      <c r="M637" s="10"/>
      <c r="N637" s="10"/>
      <c r="O637" s="7"/>
      <c r="P637" s="7"/>
      <c r="Q637" s="7"/>
      <c r="AB637" s="7"/>
    </row>
    <row r="638" spans="1:28" ht="13" x14ac:dyDescent="0.15">
      <c r="A638" s="7">
        <f t="shared" si="3"/>
        <v>6</v>
      </c>
      <c r="B638" s="7"/>
      <c r="C638" s="7"/>
      <c r="D638" s="7"/>
      <c r="E638" s="7"/>
      <c r="F638" s="9"/>
      <c r="H638" s="10"/>
      <c r="I638" s="10"/>
      <c r="J638" s="10"/>
      <c r="K638" s="10"/>
      <c r="L638" s="10"/>
      <c r="M638" s="10"/>
      <c r="N638" s="10"/>
      <c r="O638" s="7"/>
      <c r="P638" s="7"/>
      <c r="Q638" s="7"/>
      <c r="AB638" s="7"/>
    </row>
    <row r="639" spans="1:28" ht="13" x14ac:dyDescent="0.15">
      <c r="A639" s="7">
        <f t="shared" si="3"/>
        <v>6</v>
      </c>
      <c r="B639" s="7"/>
      <c r="C639" s="7"/>
      <c r="D639" s="7"/>
      <c r="E639" s="7"/>
      <c r="F639" s="9"/>
      <c r="H639" s="10"/>
      <c r="I639" s="10"/>
      <c r="J639" s="10"/>
      <c r="K639" s="10"/>
      <c r="L639" s="10"/>
      <c r="M639" s="10"/>
      <c r="N639" s="10"/>
      <c r="O639" s="7"/>
      <c r="P639" s="7"/>
      <c r="Q639" s="7"/>
      <c r="AB639" s="7"/>
    </row>
    <row r="640" spans="1:28" ht="13" x14ac:dyDescent="0.15">
      <c r="A640" s="7">
        <f t="shared" si="3"/>
        <v>6</v>
      </c>
      <c r="B640" s="7"/>
      <c r="C640" s="7"/>
      <c r="D640" s="7"/>
      <c r="E640" s="7"/>
      <c r="F640" s="9"/>
      <c r="H640" s="10"/>
      <c r="I640" s="10"/>
      <c r="J640" s="10"/>
      <c r="K640" s="10"/>
      <c r="L640" s="10"/>
      <c r="M640" s="10"/>
      <c r="N640" s="10"/>
      <c r="O640" s="7"/>
      <c r="P640" s="7"/>
      <c r="Q640" s="7"/>
      <c r="AB640" s="7"/>
    </row>
    <row r="641" spans="1:28" ht="13" x14ac:dyDescent="0.15">
      <c r="A641" s="7">
        <f t="shared" si="3"/>
        <v>6</v>
      </c>
      <c r="B641" s="7"/>
      <c r="C641" s="7"/>
      <c r="D641" s="7"/>
      <c r="E641" s="7"/>
      <c r="F641" s="9"/>
      <c r="H641" s="10"/>
      <c r="I641" s="10"/>
      <c r="J641" s="10"/>
      <c r="K641" s="10"/>
      <c r="L641" s="10"/>
      <c r="M641" s="10"/>
      <c r="N641" s="10"/>
      <c r="O641" s="7"/>
      <c r="P641" s="7"/>
      <c r="Q641" s="7"/>
      <c r="AB641" s="7"/>
    </row>
    <row r="642" spans="1:28" ht="13" x14ac:dyDescent="0.15">
      <c r="A642" s="7">
        <f t="shared" si="3"/>
        <v>6</v>
      </c>
      <c r="B642" s="7"/>
      <c r="C642" s="7"/>
      <c r="D642" s="7"/>
      <c r="E642" s="7"/>
      <c r="F642" s="9"/>
      <c r="H642" s="10"/>
      <c r="I642" s="10"/>
      <c r="J642" s="10"/>
      <c r="K642" s="10"/>
      <c r="L642" s="10"/>
      <c r="M642" s="10"/>
      <c r="N642" s="10"/>
      <c r="O642" s="7"/>
      <c r="P642" s="7"/>
      <c r="Q642" s="7"/>
      <c r="AB642" s="7"/>
    </row>
    <row r="643" spans="1:28" ht="13" x14ac:dyDescent="0.15">
      <c r="A643" s="7">
        <f t="shared" si="3"/>
        <v>6</v>
      </c>
      <c r="B643" s="7"/>
      <c r="C643" s="7"/>
      <c r="D643" s="7"/>
      <c r="E643" s="7"/>
      <c r="F643" s="9"/>
      <c r="H643" s="10"/>
      <c r="I643" s="10"/>
      <c r="J643" s="10"/>
      <c r="K643" s="10"/>
      <c r="L643" s="10"/>
      <c r="M643" s="10"/>
      <c r="N643" s="10"/>
      <c r="O643" s="7"/>
      <c r="P643" s="7"/>
      <c r="Q643" s="7"/>
      <c r="AB643" s="7"/>
    </row>
    <row r="644" spans="1:28" ht="13" x14ac:dyDescent="0.15">
      <c r="A644" s="7">
        <f t="shared" si="3"/>
        <v>6</v>
      </c>
      <c r="B644" s="7"/>
      <c r="C644" s="7"/>
      <c r="D644" s="7"/>
      <c r="E644" s="7"/>
      <c r="F644" s="9"/>
      <c r="H644" s="10"/>
      <c r="I644" s="10"/>
      <c r="J644" s="10"/>
      <c r="K644" s="10"/>
      <c r="L644" s="10"/>
      <c r="M644" s="10"/>
      <c r="N644" s="10"/>
      <c r="O644" s="7"/>
      <c r="P644" s="7"/>
      <c r="Q644" s="7"/>
      <c r="AB644" s="7"/>
    </row>
    <row r="645" spans="1:28" ht="13" x14ac:dyDescent="0.15">
      <c r="A645" s="7">
        <f t="shared" si="3"/>
        <v>6</v>
      </c>
      <c r="B645" s="7"/>
      <c r="C645" s="7"/>
      <c r="D645" s="7"/>
      <c r="E645" s="7"/>
      <c r="F645" s="9"/>
      <c r="H645" s="10"/>
      <c r="I645" s="10"/>
      <c r="J645" s="10"/>
      <c r="K645" s="10"/>
      <c r="L645" s="10"/>
      <c r="M645" s="10"/>
      <c r="N645" s="10"/>
      <c r="O645" s="7"/>
      <c r="P645" s="7"/>
      <c r="Q645" s="7"/>
      <c r="AB645" s="7"/>
    </row>
    <row r="646" spans="1:28" ht="13" x14ac:dyDescent="0.15">
      <c r="A646" s="7">
        <f t="shared" si="3"/>
        <v>6</v>
      </c>
      <c r="B646" s="7"/>
      <c r="C646" s="7"/>
      <c r="D646" s="7"/>
      <c r="E646" s="7"/>
      <c r="F646" s="9"/>
      <c r="H646" s="10"/>
      <c r="I646" s="10"/>
      <c r="J646" s="10"/>
      <c r="K646" s="10"/>
      <c r="L646" s="10"/>
      <c r="M646" s="10"/>
      <c r="N646" s="10"/>
      <c r="O646" s="7"/>
      <c r="P646" s="7"/>
      <c r="Q646" s="7"/>
      <c r="AB646" s="7"/>
    </row>
    <row r="647" spans="1:28" ht="13" x14ac:dyDescent="0.15">
      <c r="A647" s="7">
        <f t="shared" si="3"/>
        <v>6</v>
      </c>
      <c r="B647" s="7"/>
      <c r="C647" s="7"/>
      <c r="D647" s="7"/>
      <c r="E647" s="7"/>
      <c r="F647" s="9"/>
      <c r="H647" s="10"/>
      <c r="I647" s="10"/>
      <c r="J647" s="10"/>
      <c r="K647" s="10"/>
      <c r="L647" s="10"/>
      <c r="M647" s="10"/>
      <c r="N647" s="10"/>
      <c r="O647" s="7"/>
      <c r="P647" s="7"/>
      <c r="Q647" s="7"/>
      <c r="AB647" s="7"/>
    </row>
    <row r="648" spans="1:28" ht="13" x14ac:dyDescent="0.15">
      <c r="A648" s="7">
        <f t="shared" si="3"/>
        <v>6</v>
      </c>
      <c r="B648" s="7"/>
      <c r="C648" s="7"/>
      <c r="D648" s="7"/>
      <c r="E648" s="7"/>
      <c r="F648" s="9"/>
      <c r="H648" s="10"/>
      <c r="I648" s="10"/>
      <c r="J648" s="10"/>
      <c r="K648" s="10"/>
      <c r="L648" s="10"/>
      <c r="M648" s="10"/>
      <c r="N648" s="10"/>
      <c r="O648" s="7"/>
      <c r="P648" s="7"/>
      <c r="Q648" s="7"/>
      <c r="AB648" s="7"/>
    </row>
    <row r="649" spans="1:28" ht="13" x14ac:dyDescent="0.15">
      <c r="A649" s="7">
        <f t="shared" si="3"/>
        <v>6</v>
      </c>
      <c r="B649" s="7"/>
      <c r="C649" s="7"/>
      <c r="D649" s="7"/>
      <c r="E649" s="7"/>
      <c r="F649" s="9"/>
      <c r="H649" s="10"/>
      <c r="I649" s="10"/>
      <c r="J649" s="10"/>
      <c r="K649" s="10"/>
      <c r="L649" s="10"/>
      <c r="M649" s="10"/>
      <c r="N649" s="10"/>
      <c r="O649" s="7"/>
      <c r="P649" s="7"/>
      <c r="Q649" s="7"/>
      <c r="AB649" s="7"/>
    </row>
    <row r="650" spans="1:28" ht="13" x14ac:dyDescent="0.15">
      <c r="A650" s="7">
        <f t="shared" si="3"/>
        <v>6</v>
      </c>
      <c r="B650" s="7"/>
      <c r="C650" s="7"/>
      <c r="D650" s="7"/>
      <c r="E650" s="7"/>
      <c r="F650" s="9"/>
      <c r="H650" s="10"/>
      <c r="I650" s="10"/>
      <c r="J650" s="10"/>
      <c r="K650" s="10"/>
      <c r="L650" s="10"/>
      <c r="M650" s="10"/>
      <c r="N650" s="10"/>
      <c r="O650" s="7"/>
      <c r="P650" s="7"/>
      <c r="Q650" s="7"/>
      <c r="AB650" s="7"/>
    </row>
    <row r="651" spans="1:28" ht="13" x14ac:dyDescent="0.15">
      <c r="A651" s="7">
        <f t="shared" si="3"/>
        <v>6</v>
      </c>
      <c r="B651" s="7"/>
      <c r="C651" s="7"/>
      <c r="D651" s="7"/>
      <c r="E651" s="7"/>
      <c r="F651" s="9"/>
      <c r="H651" s="10"/>
      <c r="I651" s="10"/>
      <c r="J651" s="10"/>
      <c r="K651" s="10"/>
      <c r="L651" s="10"/>
      <c r="M651" s="10"/>
      <c r="N651" s="10"/>
      <c r="O651" s="7"/>
      <c r="P651" s="7"/>
      <c r="Q651" s="7"/>
      <c r="AB651" s="7"/>
    </row>
    <row r="652" spans="1:28" ht="13" x14ac:dyDescent="0.15">
      <c r="A652" s="7">
        <f t="shared" si="3"/>
        <v>6</v>
      </c>
      <c r="B652" s="7"/>
      <c r="C652" s="7"/>
      <c r="D652" s="7"/>
      <c r="E652" s="7"/>
      <c r="F652" s="9"/>
      <c r="H652" s="10"/>
      <c r="I652" s="10"/>
      <c r="J652" s="10"/>
      <c r="K652" s="10"/>
      <c r="L652" s="10"/>
      <c r="M652" s="10"/>
      <c r="N652" s="10"/>
      <c r="O652" s="7"/>
      <c r="P652" s="7"/>
      <c r="Q652" s="7"/>
      <c r="AB652" s="7"/>
    </row>
    <row r="653" spans="1:28" ht="13" x14ac:dyDescent="0.15">
      <c r="A653" s="7">
        <f t="shared" si="3"/>
        <v>6</v>
      </c>
      <c r="B653" s="7"/>
      <c r="C653" s="7"/>
      <c r="D653" s="7"/>
      <c r="E653" s="7"/>
      <c r="F653" s="9"/>
      <c r="H653" s="10"/>
      <c r="I653" s="10"/>
      <c r="J653" s="10"/>
      <c r="K653" s="10"/>
      <c r="L653" s="10"/>
      <c r="M653" s="10"/>
      <c r="N653" s="10"/>
      <c r="O653" s="7"/>
      <c r="P653" s="7"/>
      <c r="Q653" s="7"/>
      <c r="AB653" s="7"/>
    </row>
    <row r="654" spans="1:28" ht="13" x14ac:dyDescent="0.15">
      <c r="A654" s="7">
        <f t="shared" si="3"/>
        <v>6</v>
      </c>
      <c r="B654" s="7"/>
      <c r="C654" s="7"/>
      <c r="D654" s="7"/>
      <c r="E654" s="7"/>
      <c r="F654" s="9"/>
      <c r="H654" s="10"/>
      <c r="I654" s="10"/>
      <c r="J654" s="10"/>
      <c r="K654" s="10"/>
      <c r="L654" s="10"/>
      <c r="M654" s="10"/>
      <c r="N654" s="10"/>
      <c r="O654" s="7"/>
      <c r="P654" s="7"/>
      <c r="Q654" s="7"/>
      <c r="AB654" s="7"/>
    </row>
    <row r="655" spans="1:28" ht="13" x14ac:dyDescent="0.15">
      <c r="A655" s="7">
        <f t="shared" si="3"/>
        <v>6</v>
      </c>
      <c r="B655" s="7"/>
      <c r="C655" s="7"/>
      <c r="D655" s="7"/>
      <c r="E655" s="7"/>
      <c r="F655" s="9"/>
      <c r="H655" s="10"/>
      <c r="I655" s="10"/>
      <c r="J655" s="10"/>
      <c r="K655" s="10"/>
      <c r="L655" s="10"/>
      <c r="M655" s="10"/>
      <c r="N655" s="10"/>
      <c r="O655" s="7"/>
      <c r="P655" s="7"/>
      <c r="Q655" s="7"/>
      <c r="AB655" s="7"/>
    </row>
    <row r="656" spans="1:28" ht="13" x14ac:dyDescent="0.15">
      <c r="A656" s="7">
        <f t="shared" si="3"/>
        <v>6</v>
      </c>
      <c r="B656" s="7"/>
      <c r="C656" s="7"/>
      <c r="D656" s="7"/>
      <c r="E656" s="7"/>
      <c r="F656" s="9"/>
      <c r="H656" s="10"/>
      <c r="I656" s="10"/>
      <c r="J656" s="10"/>
      <c r="K656" s="10"/>
      <c r="L656" s="10"/>
      <c r="M656" s="10"/>
      <c r="N656" s="10"/>
      <c r="O656" s="7"/>
      <c r="P656" s="7"/>
      <c r="Q656" s="7"/>
      <c r="AB656" s="7"/>
    </row>
    <row r="657" spans="1:28" ht="13" x14ac:dyDescent="0.15">
      <c r="A657" s="7">
        <f t="shared" si="3"/>
        <v>6</v>
      </c>
      <c r="B657" s="7"/>
      <c r="C657" s="7"/>
      <c r="D657" s="7"/>
      <c r="E657" s="7"/>
      <c r="F657" s="9"/>
      <c r="H657" s="10"/>
      <c r="I657" s="10"/>
      <c r="J657" s="10"/>
      <c r="K657" s="10"/>
      <c r="L657" s="10"/>
      <c r="M657" s="10"/>
      <c r="N657" s="10"/>
      <c r="O657" s="7"/>
      <c r="P657" s="7"/>
      <c r="Q657" s="7"/>
      <c r="AB657" s="7"/>
    </row>
    <row r="658" spans="1:28" ht="13" x14ac:dyDescent="0.15">
      <c r="A658" s="7">
        <f t="shared" si="3"/>
        <v>6</v>
      </c>
      <c r="B658" s="7"/>
      <c r="C658" s="7"/>
      <c r="D658" s="7"/>
      <c r="E658" s="7"/>
      <c r="F658" s="9"/>
      <c r="H658" s="10"/>
      <c r="I658" s="10"/>
      <c r="J658" s="10"/>
      <c r="K658" s="10"/>
      <c r="L658" s="10"/>
      <c r="M658" s="10"/>
      <c r="N658" s="10"/>
      <c r="O658" s="7"/>
      <c r="P658" s="7"/>
      <c r="Q658" s="7"/>
      <c r="AB658" s="7"/>
    </row>
    <row r="659" spans="1:28" ht="13" x14ac:dyDescent="0.15">
      <c r="A659" s="7">
        <f t="shared" si="3"/>
        <v>6</v>
      </c>
      <c r="B659" s="7"/>
      <c r="C659" s="7"/>
      <c r="D659" s="7"/>
      <c r="E659" s="7"/>
      <c r="F659" s="9"/>
      <c r="H659" s="10"/>
      <c r="I659" s="10"/>
      <c r="J659" s="10"/>
      <c r="K659" s="10"/>
      <c r="L659" s="10"/>
      <c r="M659" s="10"/>
      <c r="N659" s="10"/>
      <c r="O659" s="7"/>
      <c r="P659" s="7"/>
      <c r="Q659" s="7"/>
      <c r="AB659" s="7"/>
    </row>
    <row r="660" spans="1:28" ht="13" x14ac:dyDescent="0.15">
      <c r="A660" s="7">
        <f t="shared" si="3"/>
        <v>6</v>
      </c>
      <c r="B660" s="7"/>
      <c r="C660" s="7"/>
      <c r="D660" s="7"/>
      <c r="E660" s="7"/>
      <c r="F660" s="9"/>
      <c r="H660" s="10"/>
      <c r="I660" s="10"/>
      <c r="J660" s="10"/>
      <c r="K660" s="10"/>
      <c r="L660" s="10"/>
      <c r="M660" s="10"/>
      <c r="N660" s="10"/>
      <c r="O660" s="7"/>
      <c r="P660" s="7"/>
      <c r="Q660" s="7"/>
      <c r="AB660" s="7"/>
    </row>
    <row r="661" spans="1:28" ht="13" x14ac:dyDescent="0.15">
      <c r="A661" s="7">
        <f t="shared" si="3"/>
        <v>6</v>
      </c>
      <c r="B661" s="7"/>
      <c r="C661" s="7"/>
      <c r="D661" s="7"/>
      <c r="E661" s="7"/>
      <c r="F661" s="9"/>
      <c r="H661" s="10"/>
      <c r="I661" s="10"/>
      <c r="J661" s="10"/>
      <c r="K661" s="10"/>
      <c r="L661" s="10"/>
      <c r="M661" s="10"/>
      <c r="N661" s="10"/>
      <c r="O661" s="7"/>
      <c r="P661" s="7"/>
      <c r="Q661" s="7"/>
      <c r="AB661" s="7"/>
    </row>
    <row r="662" spans="1:28" ht="13" x14ac:dyDescent="0.15">
      <c r="A662" s="7">
        <f t="shared" si="3"/>
        <v>6</v>
      </c>
      <c r="B662" s="7"/>
      <c r="C662" s="7"/>
      <c r="D662" s="7"/>
      <c r="E662" s="7"/>
      <c r="F662" s="9"/>
      <c r="H662" s="10"/>
      <c r="I662" s="10"/>
      <c r="J662" s="10"/>
      <c r="K662" s="10"/>
      <c r="L662" s="10"/>
      <c r="M662" s="10"/>
      <c r="N662" s="10"/>
      <c r="O662" s="7"/>
      <c r="P662" s="7"/>
      <c r="Q662" s="7"/>
      <c r="AB662" s="7"/>
    </row>
    <row r="663" spans="1:28" ht="13" x14ac:dyDescent="0.15">
      <c r="A663" s="7">
        <f t="shared" si="3"/>
        <v>6</v>
      </c>
      <c r="B663" s="7"/>
      <c r="C663" s="7"/>
      <c r="D663" s="7"/>
      <c r="E663" s="7"/>
      <c r="F663" s="9"/>
      <c r="H663" s="10"/>
      <c r="I663" s="10"/>
      <c r="J663" s="10"/>
      <c r="K663" s="10"/>
      <c r="L663" s="10"/>
      <c r="M663" s="10"/>
      <c r="N663" s="10"/>
      <c r="O663" s="7"/>
      <c r="P663" s="7"/>
      <c r="Q663" s="7"/>
      <c r="AB663" s="7"/>
    </row>
    <row r="664" spans="1:28" ht="13" x14ac:dyDescent="0.15">
      <c r="A664" s="7">
        <f t="shared" si="3"/>
        <v>6</v>
      </c>
      <c r="B664" s="7"/>
      <c r="C664" s="7"/>
      <c r="D664" s="7"/>
      <c r="E664" s="7"/>
      <c r="F664" s="9"/>
      <c r="H664" s="10"/>
      <c r="I664" s="10"/>
      <c r="J664" s="10"/>
      <c r="K664" s="10"/>
      <c r="L664" s="10"/>
      <c r="M664" s="10"/>
      <c r="N664" s="10"/>
      <c r="O664" s="7"/>
      <c r="P664" s="7"/>
      <c r="Q664" s="7"/>
      <c r="AB664" s="7"/>
    </row>
    <row r="665" spans="1:28" ht="13" x14ac:dyDescent="0.15">
      <c r="A665" s="7">
        <f t="shared" si="3"/>
        <v>6</v>
      </c>
      <c r="B665" s="7"/>
      <c r="C665" s="7"/>
      <c r="D665" s="7"/>
      <c r="E665" s="7"/>
      <c r="F665" s="9"/>
      <c r="H665" s="10"/>
      <c r="I665" s="10"/>
      <c r="J665" s="10"/>
      <c r="K665" s="10"/>
      <c r="L665" s="10"/>
      <c r="M665" s="10"/>
      <c r="N665" s="10"/>
      <c r="O665" s="7"/>
      <c r="P665" s="7"/>
      <c r="Q665" s="7"/>
      <c r="AB665" s="7"/>
    </row>
    <row r="666" spans="1:28" ht="13" x14ac:dyDescent="0.15">
      <c r="A666" s="7">
        <f t="shared" si="3"/>
        <v>6</v>
      </c>
      <c r="B666" s="7"/>
      <c r="C666" s="7"/>
      <c r="D666" s="7"/>
      <c r="E666" s="7"/>
      <c r="F666" s="9"/>
      <c r="H666" s="10"/>
      <c r="I666" s="10"/>
      <c r="J666" s="10"/>
      <c r="K666" s="10"/>
      <c r="L666" s="10"/>
      <c r="M666" s="10"/>
      <c r="N666" s="10"/>
      <c r="O666" s="7"/>
      <c r="P666" s="7"/>
      <c r="Q666" s="7"/>
      <c r="AB666" s="7"/>
    </row>
    <row r="667" spans="1:28" ht="13" x14ac:dyDescent="0.15">
      <c r="A667" s="7">
        <f t="shared" si="3"/>
        <v>6</v>
      </c>
      <c r="B667" s="7"/>
      <c r="C667" s="7"/>
      <c r="D667" s="7"/>
      <c r="E667" s="7"/>
      <c r="F667" s="9"/>
      <c r="H667" s="10"/>
      <c r="I667" s="10"/>
      <c r="J667" s="10"/>
      <c r="K667" s="10"/>
      <c r="L667" s="10"/>
      <c r="M667" s="10"/>
      <c r="N667" s="10"/>
      <c r="O667" s="7"/>
      <c r="P667" s="7"/>
      <c r="Q667" s="7"/>
      <c r="AB667" s="7"/>
    </row>
    <row r="668" spans="1:28" ht="13" x14ac:dyDescent="0.15">
      <c r="A668" s="7">
        <f t="shared" si="3"/>
        <v>6</v>
      </c>
      <c r="B668" s="7"/>
      <c r="C668" s="7"/>
      <c r="D668" s="7"/>
      <c r="E668" s="7"/>
      <c r="F668" s="9"/>
      <c r="H668" s="10"/>
      <c r="I668" s="10"/>
      <c r="J668" s="10"/>
      <c r="K668" s="10"/>
      <c r="L668" s="10"/>
      <c r="M668" s="10"/>
      <c r="N668" s="10"/>
      <c r="O668" s="7"/>
      <c r="P668" s="7"/>
      <c r="Q668" s="7"/>
      <c r="AB668" s="7"/>
    </row>
    <row r="669" spans="1:28" ht="13" x14ac:dyDescent="0.15">
      <c r="A669" s="7">
        <f t="shared" si="3"/>
        <v>6</v>
      </c>
      <c r="B669" s="7"/>
      <c r="C669" s="7"/>
      <c r="D669" s="7"/>
      <c r="E669" s="7"/>
      <c r="F669" s="9"/>
      <c r="H669" s="10"/>
      <c r="I669" s="10"/>
      <c r="J669" s="10"/>
      <c r="K669" s="10"/>
      <c r="L669" s="10"/>
      <c r="M669" s="10"/>
      <c r="N669" s="10"/>
      <c r="O669" s="7"/>
      <c r="P669" s="7"/>
      <c r="Q669" s="7"/>
      <c r="AB669" s="7"/>
    </row>
    <row r="670" spans="1:28" ht="13" x14ac:dyDescent="0.15">
      <c r="A670" s="7">
        <f t="shared" si="3"/>
        <v>6</v>
      </c>
      <c r="B670" s="7"/>
      <c r="C670" s="7"/>
      <c r="D670" s="7"/>
      <c r="E670" s="7"/>
      <c r="F670" s="9"/>
      <c r="H670" s="10"/>
      <c r="I670" s="10"/>
      <c r="J670" s="10"/>
      <c r="K670" s="10"/>
      <c r="L670" s="10"/>
      <c r="M670" s="10"/>
      <c r="N670" s="10"/>
      <c r="O670" s="7"/>
      <c r="P670" s="7"/>
      <c r="Q670" s="7"/>
      <c r="AB670" s="7"/>
    </row>
    <row r="671" spans="1:28" ht="13" x14ac:dyDescent="0.15">
      <c r="A671" s="7">
        <f t="shared" si="3"/>
        <v>6</v>
      </c>
      <c r="B671" s="7"/>
      <c r="C671" s="7"/>
      <c r="D671" s="7"/>
      <c r="E671" s="7"/>
      <c r="F671" s="9"/>
      <c r="H671" s="10"/>
      <c r="I671" s="10"/>
      <c r="J671" s="10"/>
      <c r="K671" s="10"/>
      <c r="L671" s="10"/>
      <c r="M671" s="10"/>
      <c r="N671" s="10"/>
      <c r="O671" s="7"/>
      <c r="P671" s="7"/>
      <c r="Q671" s="7"/>
      <c r="AB671" s="7"/>
    </row>
    <row r="672" spans="1:28" ht="13" x14ac:dyDescent="0.15">
      <c r="A672" s="7">
        <f t="shared" si="3"/>
        <v>6</v>
      </c>
      <c r="B672" s="7"/>
      <c r="C672" s="7"/>
      <c r="D672" s="7"/>
      <c r="E672" s="7"/>
      <c r="F672" s="9"/>
      <c r="H672" s="10"/>
      <c r="I672" s="10"/>
      <c r="J672" s="10"/>
      <c r="K672" s="10"/>
      <c r="L672" s="10"/>
      <c r="M672" s="10"/>
      <c r="N672" s="10"/>
      <c r="O672" s="7"/>
      <c r="P672" s="7"/>
      <c r="Q672" s="7"/>
      <c r="AB672" s="7"/>
    </row>
    <row r="673" spans="1:28" ht="13" x14ac:dyDescent="0.15">
      <c r="A673" s="7">
        <f t="shared" si="3"/>
        <v>6</v>
      </c>
      <c r="B673" s="7"/>
      <c r="C673" s="7"/>
      <c r="D673" s="7"/>
      <c r="E673" s="7"/>
      <c r="F673" s="9"/>
      <c r="H673" s="10"/>
      <c r="I673" s="10"/>
      <c r="J673" s="10"/>
      <c r="K673" s="10"/>
      <c r="L673" s="10"/>
      <c r="M673" s="10"/>
      <c r="N673" s="10"/>
      <c r="O673" s="7"/>
      <c r="P673" s="7"/>
      <c r="Q673" s="7"/>
      <c r="AB673" s="7"/>
    </row>
    <row r="674" spans="1:28" ht="13" x14ac:dyDescent="0.15">
      <c r="A674" s="7">
        <f t="shared" si="3"/>
        <v>6</v>
      </c>
      <c r="B674" s="7"/>
      <c r="C674" s="7"/>
      <c r="D674" s="7"/>
      <c r="E674" s="7"/>
      <c r="F674" s="9"/>
      <c r="H674" s="10"/>
      <c r="I674" s="10"/>
      <c r="J674" s="10"/>
      <c r="K674" s="10"/>
      <c r="L674" s="10"/>
      <c r="M674" s="10"/>
      <c r="N674" s="10"/>
      <c r="O674" s="7"/>
      <c r="P674" s="7"/>
      <c r="Q674" s="7"/>
      <c r="AB674" s="7"/>
    </row>
    <row r="675" spans="1:28" ht="13" x14ac:dyDescent="0.15">
      <c r="A675" s="7">
        <f t="shared" si="3"/>
        <v>6</v>
      </c>
      <c r="B675" s="7"/>
      <c r="C675" s="7"/>
      <c r="D675" s="7"/>
      <c r="E675" s="7"/>
      <c r="F675" s="9"/>
      <c r="H675" s="10"/>
      <c r="I675" s="10"/>
      <c r="J675" s="10"/>
      <c r="K675" s="10"/>
      <c r="L675" s="10"/>
      <c r="M675" s="10"/>
      <c r="N675" s="10"/>
      <c r="O675" s="7"/>
      <c r="P675" s="7"/>
      <c r="Q675" s="7"/>
      <c r="AB675" s="7"/>
    </row>
    <row r="676" spans="1:28" ht="13" x14ac:dyDescent="0.15">
      <c r="A676" s="7">
        <f t="shared" si="3"/>
        <v>6</v>
      </c>
      <c r="B676" s="7"/>
      <c r="C676" s="7"/>
      <c r="D676" s="7"/>
      <c r="E676" s="7"/>
      <c r="F676" s="9"/>
      <c r="H676" s="10"/>
      <c r="I676" s="10"/>
      <c r="J676" s="10"/>
      <c r="K676" s="10"/>
      <c r="L676" s="10"/>
      <c r="M676" s="10"/>
      <c r="N676" s="10"/>
      <c r="O676" s="7"/>
      <c r="P676" s="7"/>
      <c r="Q676" s="7"/>
      <c r="AB676" s="7"/>
    </row>
    <row r="677" spans="1:28" ht="13" x14ac:dyDescent="0.15">
      <c r="A677" s="7">
        <f t="shared" si="3"/>
        <v>6</v>
      </c>
      <c r="B677" s="7"/>
      <c r="C677" s="7"/>
      <c r="D677" s="7"/>
      <c r="E677" s="7"/>
      <c r="F677" s="9"/>
      <c r="H677" s="10"/>
      <c r="I677" s="10"/>
      <c r="J677" s="10"/>
      <c r="K677" s="10"/>
      <c r="L677" s="10"/>
      <c r="M677" s="10"/>
      <c r="N677" s="10"/>
      <c r="O677" s="7"/>
      <c r="P677" s="7"/>
      <c r="Q677" s="7"/>
      <c r="AB677" s="7"/>
    </row>
    <row r="678" spans="1:28" ht="13" x14ac:dyDescent="0.15">
      <c r="A678" s="7">
        <f t="shared" si="3"/>
        <v>6</v>
      </c>
      <c r="B678" s="7"/>
      <c r="C678" s="7"/>
      <c r="D678" s="7"/>
      <c r="E678" s="7"/>
      <c r="F678" s="9"/>
      <c r="H678" s="10"/>
      <c r="I678" s="10"/>
      <c r="J678" s="10"/>
      <c r="K678" s="10"/>
      <c r="L678" s="10"/>
      <c r="M678" s="10"/>
      <c r="N678" s="10"/>
      <c r="O678" s="7"/>
      <c r="P678" s="7"/>
      <c r="Q678" s="7"/>
      <c r="AB678" s="7"/>
    </row>
    <row r="679" spans="1:28" ht="13" x14ac:dyDescent="0.15">
      <c r="A679" s="7">
        <f t="shared" si="3"/>
        <v>6</v>
      </c>
      <c r="B679" s="7"/>
      <c r="C679" s="7"/>
      <c r="D679" s="7"/>
      <c r="E679" s="7"/>
      <c r="F679" s="9"/>
      <c r="H679" s="10"/>
      <c r="I679" s="10"/>
      <c r="J679" s="10"/>
      <c r="K679" s="10"/>
      <c r="L679" s="10"/>
      <c r="M679" s="10"/>
      <c r="N679" s="10"/>
      <c r="O679" s="7"/>
      <c r="P679" s="7"/>
      <c r="Q679" s="7"/>
      <c r="AB679" s="7"/>
    </row>
    <row r="680" spans="1:28" ht="13" x14ac:dyDescent="0.15">
      <c r="A680" s="7">
        <f t="shared" si="3"/>
        <v>6</v>
      </c>
      <c r="B680" s="7"/>
      <c r="C680" s="7"/>
      <c r="D680" s="7"/>
      <c r="E680" s="7"/>
      <c r="F680" s="9"/>
      <c r="H680" s="10"/>
      <c r="I680" s="10"/>
      <c r="J680" s="10"/>
      <c r="K680" s="10"/>
      <c r="L680" s="10"/>
      <c r="M680" s="10"/>
      <c r="N680" s="10"/>
      <c r="O680" s="7"/>
      <c r="P680" s="7"/>
      <c r="Q680" s="7"/>
      <c r="AB680" s="7"/>
    </row>
    <row r="681" spans="1:28" ht="13" x14ac:dyDescent="0.15">
      <c r="A681" s="7">
        <f t="shared" si="3"/>
        <v>6</v>
      </c>
      <c r="B681" s="7"/>
      <c r="C681" s="7"/>
      <c r="D681" s="7"/>
      <c r="E681" s="7"/>
      <c r="F681" s="9"/>
      <c r="H681" s="10"/>
      <c r="I681" s="10"/>
      <c r="J681" s="10"/>
      <c r="K681" s="10"/>
      <c r="L681" s="10"/>
      <c r="M681" s="10"/>
      <c r="N681" s="10"/>
      <c r="O681" s="7"/>
      <c r="P681" s="7"/>
      <c r="Q681" s="7"/>
      <c r="AB681" s="7"/>
    </row>
    <row r="682" spans="1:28" ht="13" x14ac:dyDescent="0.15">
      <c r="A682" s="7">
        <f t="shared" si="3"/>
        <v>6</v>
      </c>
      <c r="B682" s="7"/>
      <c r="C682" s="7"/>
      <c r="D682" s="7"/>
      <c r="E682" s="7"/>
      <c r="F682" s="9"/>
      <c r="H682" s="10"/>
      <c r="I682" s="10"/>
      <c r="J682" s="10"/>
      <c r="K682" s="10"/>
      <c r="L682" s="10"/>
      <c r="M682" s="10"/>
      <c r="N682" s="10"/>
      <c r="O682" s="7"/>
      <c r="P682" s="7"/>
      <c r="Q682" s="7"/>
      <c r="AB682" s="7"/>
    </row>
    <row r="683" spans="1:28" ht="13" x14ac:dyDescent="0.15">
      <c r="A683" s="7">
        <f t="shared" si="3"/>
        <v>6</v>
      </c>
      <c r="B683" s="7"/>
      <c r="C683" s="7"/>
      <c r="D683" s="7"/>
      <c r="E683" s="7"/>
      <c r="F683" s="9"/>
      <c r="H683" s="10"/>
      <c r="I683" s="10"/>
      <c r="J683" s="10"/>
      <c r="K683" s="10"/>
      <c r="L683" s="10"/>
      <c r="M683" s="10"/>
      <c r="N683" s="10"/>
      <c r="O683" s="7"/>
      <c r="P683" s="7"/>
      <c r="Q683" s="7"/>
      <c r="AB683" s="7"/>
    </row>
    <row r="684" spans="1:28" ht="13" x14ac:dyDescent="0.15">
      <c r="A684" s="7">
        <f t="shared" si="3"/>
        <v>6</v>
      </c>
      <c r="B684" s="7"/>
      <c r="C684" s="7"/>
      <c r="D684" s="7"/>
      <c r="E684" s="7"/>
      <c r="F684" s="9"/>
      <c r="H684" s="10"/>
      <c r="I684" s="10"/>
      <c r="J684" s="10"/>
      <c r="K684" s="10"/>
      <c r="L684" s="10"/>
      <c r="M684" s="10"/>
      <c r="N684" s="10"/>
      <c r="O684" s="7"/>
      <c r="P684" s="7"/>
      <c r="Q684" s="7"/>
      <c r="AB684" s="7"/>
    </row>
    <row r="685" spans="1:28" ht="13" x14ac:dyDescent="0.15">
      <c r="A685" s="7">
        <f t="shared" si="3"/>
        <v>6</v>
      </c>
      <c r="B685" s="7"/>
      <c r="C685" s="7"/>
      <c r="D685" s="7"/>
      <c r="E685" s="7"/>
      <c r="F685" s="9"/>
      <c r="H685" s="10"/>
      <c r="I685" s="10"/>
      <c r="J685" s="10"/>
      <c r="K685" s="10"/>
      <c r="L685" s="10"/>
      <c r="M685" s="10"/>
      <c r="N685" s="10"/>
      <c r="O685" s="7"/>
      <c r="P685" s="7"/>
      <c r="Q685" s="7"/>
      <c r="AB685" s="7"/>
    </row>
    <row r="686" spans="1:28" ht="13" x14ac:dyDescent="0.15">
      <c r="A686" s="7">
        <f t="shared" si="3"/>
        <v>6</v>
      </c>
      <c r="B686" s="7"/>
      <c r="C686" s="7"/>
      <c r="D686" s="7"/>
      <c r="E686" s="7"/>
      <c r="F686" s="9"/>
      <c r="H686" s="10"/>
      <c r="I686" s="10"/>
      <c r="J686" s="10"/>
      <c r="K686" s="10"/>
      <c r="L686" s="10"/>
      <c r="M686" s="10"/>
      <c r="N686" s="10"/>
      <c r="O686" s="7"/>
      <c r="P686" s="7"/>
      <c r="Q686" s="7"/>
      <c r="AB686" s="7"/>
    </row>
    <row r="687" spans="1:28" ht="13" x14ac:dyDescent="0.15">
      <c r="A687" s="7">
        <f t="shared" si="3"/>
        <v>6</v>
      </c>
      <c r="B687" s="7"/>
      <c r="C687" s="7"/>
      <c r="D687" s="7"/>
      <c r="E687" s="7"/>
      <c r="F687" s="9"/>
      <c r="H687" s="10"/>
      <c r="I687" s="10"/>
      <c r="J687" s="10"/>
      <c r="K687" s="10"/>
      <c r="L687" s="10"/>
      <c r="M687" s="10"/>
      <c r="N687" s="10"/>
      <c r="O687" s="7"/>
      <c r="P687" s="7"/>
      <c r="Q687" s="7"/>
      <c r="AB687" s="7"/>
    </row>
    <row r="688" spans="1:28" ht="13" x14ac:dyDescent="0.15">
      <c r="A688" s="7">
        <f t="shared" si="3"/>
        <v>6</v>
      </c>
      <c r="B688" s="7"/>
      <c r="C688" s="7"/>
      <c r="D688" s="7"/>
      <c r="E688" s="7"/>
      <c r="F688" s="9"/>
      <c r="H688" s="10"/>
      <c r="I688" s="10"/>
      <c r="J688" s="10"/>
      <c r="K688" s="10"/>
      <c r="L688" s="10"/>
      <c r="M688" s="10"/>
      <c r="N688" s="10"/>
      <c r="O688" s="7"/>
      <c r="P688" s="7"/>
      <c r="Q688" s="7"/>
      <c r="AB688" s="7"/>
    </row>
    <row r="689" spans="1:28" ht="13" x14ac:dyDescent="0.15">
      <c r="A689" s="7">
        <f t="shared" si="3"/>
        <v>6</v>
      </c>
      <c r="B689" s="7"/>
      <c r="C689" s="7"/>
      <c r="D689" s="7"/>
      <c r="E689" s="7"/>
      <c r="F689" s="9"/>
      <c r="H689" s="10"/>
      <c r="I689" s="10"/>
      <c r="J689" s="10"/>
      <c r="K689" s="10"/>
      <c r="L689" s="10"/>
      <c r="M689" s="10"/>
      <c r="N689" s="10"/>
      <c r="O689" s="7"/>
      <c r="P689" s="7"/>
      <c r="Q689" s="7"/>
      <c r="AB689" s="7"/>
    </row>
    <row r="690" spans="1:28" ht="13" x14ac:dyDescent="0.15">
      <c r="A690" s="7">
        <f t="shared" si="3"/>
        <v>6</v>
      </c>
      <c r="B690" s="7"/>
      <c r="C690" s="7"/>
      <c r="D690" s="7"/>
      <c r="E690" s="7"/>
      <c r="F690" s="9"/>
      <c r="H690" s="10"/>
      <c r="I690" s="10"/>
      <c r="J690" s="10"/>
      <c r="K690" s="10"/>
      <c r="L690" s="10"/>
      <c r="M690" s="10"/>
      <c r="N690" s="10"/>
      <c r="O690" s="7"/>
      <c r="P690" s="7"/>
      <c r="Q690" s="7"/>
      <c r="AB690" s="7"/>
    </row>
    <row r="691" spans="1:28" ht="13" x14ac:dyDescent="0.15">
      <c r="A691" s="7">
        <f t="shared" si="3"/>
        <v>6</v>
      </c>
      <c r="B691" s="7"/>
      <c r="C691" s="7"/>
      <c r="D691" s="7"/>
      <c r="E691" s="7"/>
      <c r="F691" s="9"/>
      <c r="H691" s="10"/>
      <c r="I691" s="10"/>
      <c r="J691" s="10"/>
      <c r="K691" s="10"/>
      <c r="L691" s="10"/>
      <c r="M691" s="10"/>
      <c r="N691" s="10"/>
      <c r="O691" s="7"/>
      <c r="P691" s="7"/>
      <c r="Q691" s="7"/>
      <c r="AB691" s="7"/>
    </row>
    <row r="692" spans="1:28" ht="13" x14ac:dyDescent="0.15">
      <c r="A692" s="7">
        <f t="shared" si="3"/>
        <v>6</v>
      </c>
      <c r="B692" s="7"/>
      <c r="C692" s="7"/>
      <c r="D692" s="7"/>
      <c r="E692" s="7"/>
      <c r="F692" s="9"/>
      <c r="H692" s="10"/>
      <c r="I692" s="10"/>
      <c r="J692" s="10"/>
      <c r="K692" s="10"/>
      <c r="L692" s="10"/>
      <c r="M692" s="10"/>
      <c r="N692" s="10"/>
      <c r="O692" s="7"/>
      <c r="P692" s="7"/>
      <c r="Q692" s="7"/>
      <c r="AB692" s="7"/>
    </row>
    <row r="693" spans="1:28" ht="13" x14ac:dyDescent="0.15">
      <c r="A693" s="7">
        <f t="shared" si="3"/>
        <v>6</v>
      </c>
      <c r="B693" s="7"/>
      <c r="C693" s="7"/>
      <c r="D693" s="7"/>
      <c r="E693" s="7"/>
      <c r="F693" s="9"/>
      <c r="H693" s="10"/>
      <c r="I693" s="10"/>
      <c r="J693" s="10"/>
      <c r="K693" s="10"/>
      <c r="L693" s="10"/>
      <c r="M693" s="10"/>
      <c r="N693" s="10"/>
      <c r="O693" s="7"/>
      <c r="P693" s="7"/>
      <c r="Q693" s="7"/>
      <c r="AB693" s="7"/>
    </row>
    <row r="694" spans="1:28" ht="13" x14ac:dyDescent="0.15">
      <c r="A694" s="7">
        <f t="shared" si="3"/>
        <v>6</v>
      </c>
      <c r="B694" s="7"/>
      <c r="C694" s="7"/>
      <c r="D694" s="7"/>
      <c r="E694" s="7"/>
      <c r="F694" s="9"/>
      <c r="H694" s="10"/>
      <c r="I694" s="10"/>
      <c r="J694" s="10"/>
      <c r="K694" s="10"/>
      <c r="L694" s="10"/>
      <c r="M694" s="10"/>
      <c r="N694" s="10"/>
      <c r="O694" s="7"/>
      <c r="P694" s="7"/>
      <c r="Q694" s="7"/>
      <c r="AB694" s="7"/>
    </row>
    <row r="695" spans="1:28" ht="13" x14ac:dyDescent="0.15">
      <c r="A695" s="7">
        <f t="shared" si="3"/>
        <v>6</v>
      </c>
      <c r="B695" s="7"/>
      <c r="C695" s="7"/>
      <c r="D695" s="7"/>
      <c r="E695" s="7"/>
      <c r="F695" s="9"/>
      <c r="H695" s="10"/>
      <c r="I695" s="10"/>
      <c r="J695" s="10"/>
      <c r="K695" s="10"/>
      <c r="L695" s="10"/>
      <c r="M695" s="10"/>
      <c r="N695" s="10"/>
      <c r="O695" s="7"/>
      <c r="P695" s="7"/>
      <c r="Q695" s="7"/>
      <c r="AB695" s="7"/>
    </row>
    <row r="696" spans="1:28" ht="13" x14ac:dyDescent="0.15">
      <c r="A696" s="7">
        <f t="shared" si="3"/>
        <v>6</v>
      </c>
      <c r="B696" s="7"/>
      <c r="C696" s="7"/>
      <c r="D696" s="7"/>
      <c r="E696" s="7"/>
      <c r="F696" s="9"/>
      <c r="H696" s="10"/>
      <c r="I696" s="10"/>
      <c r="J696" s="10"/>
      <c r="K696" s="10"/>
      <c r="L696" s="10"/>
      <c r="M696" s="10"/>
      <c r="N696" s="10"/>
      <c r="O696" s="7"/>
      <c r="P696" s="7"/>
      <c r="Q696" s="7"/>
      <c r="AB696" s="7"/>
    </row>
    <row r="697" spans="1:28" ht="13" x14ac:dyDescent="0.15">
      <c r="A697" s="7">
        <f t="shared" si="3"/>
        <v>6</v>
      </c>
      <c r="B697" s="7"/>
      <c r="C697" s="7"/>
      <c r="D697" s="7"/>
      <c r="E697" s="7"/>
      <c r="F697" s="9"/>
      <c r="H697" s="10"/>
      <c r="I697" s="10"/>
      <c r="J697" s="10"/>
      <c r="K697" s="10"/>
      <c r="L697" s="10"/>
      <c r="M697" s="10"/>
      <c r="N697" s="10"/>
      <c r="O697" s="7"/>
      <c r="P697" s="7"/>
      <c r="Q697" s="7"/>
      <c r="AB697" s="7"/>
    </row>
    <row r="698" spans="1:28" ht="13" x14ac:dyDescent="0.15">
      <c r="A698" s="7">
        <f t="shared" si="3"/>
        <v>6</v>
      </c>
      <c r="B698" s="7"/>
      <c r="C698" s="7"/>
      <c r="D698" s="7"/>
      <c r="E698" s="7"/>
      <c r="F698" s="9"/>
      <c r="H698" s="10"/>
      <c r="I698" s="10"/>
      <c r="J698" s="10"/>
      <c r="K698" s="10"/>
      <c r="L698" s="10"/>
      <c r="M698" s="10"/>
      <c r="N698" s="10"/>
      <c r="O698" s="7"/>
      <c r="P698" s="7"/>
      <c r="Q698" s="7"/>
      <c r="AB698" s="7"/>
    </row>
    <row r="699" spans="1:28" ht="13" x14ac:dyDescent="0.15">
      <c r="A699" s="7">
        <f t="shared" si="3"/>
        <v>6</v>
      </c>
      <c r="B699" s="7"/>
      <c r="C699" s="7"/>
      <c r="D699" s="7"/>
      <c r="E699" s="7"/>
      <c r="F699" s="9"/>
      <c r="H699" s="10"/>
      <c r="I699" s="10"/>
      <c r="J699" s="10"/>
      <c r="K699" s="10"/>
      <c r="L699" s="10"/>
      <c r="M699" s="10"/>
      <c r="N699" s="10"/>
      <c r="O699" s="7"/>
      <c r="P699" s="7"/>
      <c r="Q699" s="7"/>
      <c r="AB699" s="7"/>
    </row>
    <row r="700" spans="1:28" ht="13" x14ac:dyDescent="0.15">
      <c r="A700" s="7">
        <f t="shared" si="3"/>
        <v>6</v>
      </c>
      <c r="B700" s="7"/>
      <c r="C700" s="7"/>
      <c r="D700" s="7"/>
      <c r="E700" s="7"/>
      <c r="F700" s="9"/>
      <c r="H700" s="10"/>
      <c r="I700" s="10"/>
      <c r="J700" s="10"/>
      <c r="K700" s="10"/>
      <c r="L700" s="10"/>
      <c r="M700" s="10"/>
      <c r="N700" s="10"/>
      <c r="O700" s="7"/>
      <c r="P700" s="7"/>
      <c r="Q700" s="7"/>
      <c r="AB700" s="7"/>
    </row>
    <row r="701" spans="1:28" ht="13" x14ac:dyDescent="0.15">
      <c r="A701" s="7">
        <f t="shared" si="3"/>
        <v>6</v>
      </c>
      <c r="B701" s="7"/>
      <c r="C701" s="7"/>
      <c r="D701" s="7"/>
      <c r="E701" s="7"/>
      <c r="F701" s="9"/>
      <c r="H701" s="10"/>
      <c r="I701" s="10"/>
      <c r="J701" s="10"/>
      <c r="K701" s="10"/>
      <c r="L701" s="10"/>
      <c r="M701" s="10"/>
      <c r="N701" s="10"/>
      <c r="O701" s="7"/>
      <c r="P701" s="7"/>
      <c r="Q701" s="7"/>
      <c r="AB701" s="7"/>
    </row>
    <row r="702" spans="1:28" ht="13" x14ac:dyDescent="0.15">
      <c r="A702" s="7">
        <f t="shared" si="3"/>
        <v>6</v>
      </c>
      <c r="B702" s="7"/>
      <c r="C702" s="7"/>
      <c r="D702" s="7"/>
      <c r="E702" s="7"/>
      <c r="F702" s="9"/>
      <c r="H702" s="10"/>
      <c r="I702" s="10"/>
      <c r="J702" s="10"/>
      <c r="K702" s="10"/>
      <c r="L702" s="10"/>
      <c r="M702" s="10"/>
      <c r="N702" s="10"/>
      <c r="O702" s="7"/>
      <c r="P702" s="7"/>
      <c r="Q702" s="7"/>
      <c r="AB702" s="7"/>
    </row>
    <row r="703" spans="1:28" ht="13" x14ac:dyDescent="0.15">
      <c r="A703" s="7">
        <f t="shared" si="3"/>
        <v>6</v>
      </c>
      <c r="B703" s="7"/>
      <c r="C703" s="7"/>
      <c r="D703" s="7"/>
      <c r="E703" s="7"/>
      <c r="F703" s="9"/>
      <c r="H703" s="10"/>
      <c r="I703" s="10"/>
      <c r="J703" s="10"/>
      <c r="K703" s="10"/>
      <c r="L703" s="10"/>
      <c r="M703" s="10"/>
      <c r="N703" s="10"/>
      <c r="O703" s="7"/>
      <c r="P703" s="7"/>
      <c r="Q703" s="7"/>
      <c r="AB703" s="7"/>
    </row>
    <row r="704" spans="1:28" ht="13" x14ac:dyDescent="0.15">
      <c r="A704" s="7">
        <f t="shared" si="3"/>
        <v>6</v>
      </c>
      <c r="B704" s="7"/>
      <c r="C704" s="7"/>
      <c r="D704" s="7"/>
      <c r="E704" s="7"/>
      <c r="F704" s="9"/>
      <c r="H704" s="10"/>
      <c r="I704" s="10"/>
      <c r="J704" s="10"/>
      <c r="K704" s="10"/>
      <c r="L704" s="10"/>
      <c r="M704" s="10"/>
      <c r="N704" s="10"/>
      <c r="O704" s="7"/>
      <c r="P704" s="7"/>
      <c r="Q704" s="7"/>
      <c r="AB704" s="7"/>
    </row>
    <row r="705" spans="1:28" ht="13" x14ac:dyDescent="0.15">
      <c r="A705" s="7">
        <f t="shared" si="3"/>
        <v>6</v>
      </c>
      <c r="B705" s="7"/>
      <c r="C705" s="7"/>
      <c r="D705" s="7"/>
      <c r="E705" s="7"/>
      <c r="F705" s="9"/>
      <c r="H705" s="10"/>
      <c r="I705" s="10"/>
      <c r="J705" s="10"/>
      <c r="K705" s="10"/>
      <c r="L705" s="10"/>
      <c r="M705" s="10"/>
      <c r="N705" s="10"/>
      <c r="O705" s="7"/>
      <c r="P705" s="7"/>
      <c r="Q705" s="7"/>
      <c r="AB705" s="7"/>
    </row>
    <row r="706" spans="1:28" ht="13" x14ac:dyDescent="0.15">
      <c r="A706" s="7">
        <f t="shared" si="3"/>
        <v>6</v>
      </c>
      <c r="B706" s="7"/>
      <c r="C706" s="7"/>
      <c r="D706" s="7"/>
      <c r="E706" s="7"/>
      <c r="F706" s="9"/>
      <c r="H706" s="10"/>
      <c r="I706" s="10"/>
      <c r="J706" s="10"/>
      <c r="K706" s="10"/>
      <c r="L706" s="10"/>
      <c r="M706" s="10"/>
      <c r="N706" s="10"/>
      <c r="O706" s="7"/>
      <c r="P706" s="7"/>
      <c r="Q706" s="7"/>
      <c r="AB706" s="7"/>
    </row>
    <row r="707" spans="1:28" ht="13" x14ac:dyDescent="0.15">
      <c r="A707" s="7">
        <f t="shared" si="3"/>
        <v>6</v>
      </c>
      <c r="B707" s="7"/>
      <c r="C707" s="7"/>
      <c r="D707" s="7"/>
      <c r="E707" s="7"/>
      <c r="F707" s="9"/>
      <c r="H707" s="10"/>
      <c r="I707" s="10"/>
      <c r="J707" s="10"/>
      <c r="K707" s="10"/>
      <c r="L707" s="10"/>
      <c r="M707" s="10"/>
      <c r="N707" s="10"/>
      <c r="O707" s="7"/>
      <c r="P707" s="7"/>
      <c r="Q707" s="7"/>
      <c r="AB707" s="7"/>
    </row>
    <row r="708" spans="1:28" ht="13" x14ac:dyDescent="0.15">
      <c r="A708" s="7">
        <f t="shared" si="3"/>
        <v>6</v>
      </c>
      <c r="B708" s="7"/>
      <c r="C708" s="7"/>
      <c r="D708" s="7"/>
      <c r="E708" s="7"/>
      <c r="F708" s="9"/>
      <c r="H708" s="10"/>
      <c r="I708" s="10"/>
      <c r="J708" s="10"/>
      <c r="K708" s="10"/>
      <c r="L708" s="10"/>
      <c r="M708" s="10"/>
      <c r="N708" s="10"/>
      <c r="O708" s="7"/>
      <c r="P708" s="7"/>
      <c r="Q708" s="7"/>
      <c r="AB708" s="7"/>
    </row>
    <row r="709" spans="1:28" ht="13" x14ac:dyDescent="0.15">
      <c r="A709" s="7">
        <f t="shared" si="3"/>
        <v>6</v>
      </c>
      <c r="B709" s="7"/>
      <c r="C709" s="7"/>
      <c r="D709" s="7"/>
      <c r="E709" s="7"/>
      <c r="F709" s="9"/>
      <c r="H709" s="10"/>
      <c r="I709" s="10"/>
      <c r="J709" s="10"/>
      <c r="K709" s="10"/>
      <c r="L709" s="10"/>
      <c r="M709" s="10"/>
      <c r="N709" s="10"/>
      <c r="O709" s="7"/>
      <c r="P709" s="7"/>
      <c r="Q709" s="7"/>
      <c r="AB709" s="7"/>
    </row>
    <row r="710" spans="1:28" ht="13" x14ac:dyDescent="0.15">
      <c r="A710" s="7">
        <f t="shared" si="3"/>
        <v>6</v>
      </c>
      <c r="B710" s="7"/>
      <c r="C710" s="7"/>
      <c r="D710" s="7"/>
      <c r="E710" s="7"/>
      <c r="F710" s="9"/>
      <c r="H710" s="10"/>
      <c r="I710" s="10"/>
      <c r="J710" s="10"/>
      <c r="K710" s="10"/>
      <c r="L710" s="10"/>
      <c r="M710" s="10"/>
      <c r="N710" s="10"/>
      <c r="O710" s="7"/>
      <c r="P710" s="7"/>
      <c r="Q710" s="7"/>
      <c r="AB710" s="7"/>
    </row>
    <row r="711" spans="1:28" ht="13" x14ac:dyDescent="0.15">
      <c r="A711" s="7">
        <f t="shared" si="3"/>
        <v>6</v>
      </c>
      <c r="B711" s="7"/>
      <c r="C711" s="7"/>
      <c r="D711" s="7"/>
      <c r="E711" s="7"/>
      <c r="F711" s="9"/>
      <c r="H711" s="10"/>
      <c r="I711" s="10"/>
      <c r="J711" s="10"/>
      <c r="K711" s="10"/>
      <c r="L711" s="10"/>
      <c r="M711" s="10"/>
      <c r="N711" s="10"/>
      <c r="O711" s="7"/>
      <c r="P711" s="7"/>
      <c r="Q711" s="7"/>
      <c r="AB711" s="7"/>
    </row>
    <row r="712" spans="1:28" ht="13" x14ac:dyDescent="0.15">
      <c r="A712" s="7">
        <f t="shared" si="3"/>
        <v>6</v>
      </c>
      <c r="B712" s="7"/>
      <c r="C712" s="7"/>
      <c r="D712" s="7"/>
      <c r="E712" s="7"/>
      <c r="F712" s="9"/>
      <c r="H712" s="10"/>
      <c r="I712" s="10"/>
      <c r="J712" s="10"/>
      <c r="K712" s="10"/>
      <c r="L712" s="10"/>
      <c r="M712" s="10"/>
      <c r="N712" s="10"/>
      <c r="O712" s="7"/>
      <c r="P712" s="7"/>
      <c r="Q712" s="7"/>
      <c r="AB712" s="7"/>
    </row>
    <row r="713" spans="1:28" ht="13" x14ac:dyDescent="0.15">
      <c r="A713" s="7">
        <f t="shared" si="3"/>
        <v>6</v>
      </c>
      <c r="B713" s="7"/>
      <c r="C713" s="7"/>
      <c r="D713" s="7"/>
      <c r="E713" s="7"/>
      <c r="F713" s="9"/>
      <c r="H713" s="10"/>
      <c r="I713" s="10"/>
      <c r="J713" s="10"/>
      <c r="K713" s="10"/>
      <c r="L713" s="10"/>
      <c r="M713" s="10"/>
      <c r="N713" s="10"/>
      <c r="O713" s="7"/>
      <c r="P713" s="7"/>
      <c r="Q713" s="7"/>
      <c r="AB713" s="7"/>
    </row>
    <row r="714" spans="1:28" ht="13" x14ac:dyDescent="0.15">
      <c r="A714" s="7">
        <f t="shared" si="3"/>
        <v>6</v>
      </c>
      <c r="B714" s="7"/>
      <c r="C714" s="7"/>
      <c r="D714" s="7"/>
      <c r="E714" s="7"/>
      <c r="F714" s="9"/>
      <c r="H714" s="10"/>
      <c r="I714" s="10"/>
      <c r="J714" s="10"/>
      <c r="K714" s="10"/>
      <c r="L714" s="10"/>
      <c r="M714" s="10"/>
      <c r="N714" s="10"/>
      <c r="O714" s="7"/>
      <c r="P714" s="7"/>
      <c r="Q714" s="7"/>
      <c r="AB714" s="7"/>
    </row>
    <row r="715" spans="1:28" ht="13" x14ac:dyDescent="0.15">
      <c r="A715" s="7">
        <f t="shared" si="3"/>
        <v>6</v>
      </c>
      <c r="B715" s="7"/>
      <c r="C715" s="7"/>
      <c r="D715" s="7"/>
      <c r="E715" s="7"/>
      <c r="F715" s="9"/>
      <c r="H715" s="10"/>
      <c r="I715" s="10"/>
      <c r="J715" s="10"/>
      <c r="K715" s="10"/>
      <c r="L715" s="10"/>
      <c r="M715" s="10"/>
      <c r="N715" s="10"/>
      <c r="O715" s="7"/>
      <c r="P715" s="7"/>
      <c r="Q715" s="7"/>
      <c r="AB715" s="7"/>
    </row>
    <row r="716" spans="1:28" ht="13" x14ac:dyDescent="0.15">
      <c r="A716" s="7">
        <f t="shared" si="3"/>
        <v>6</v>
      </c>
      <c r="B716" s="7"/>
      <c r="C716" s="7"/>
      <c r="D716" s="7"/>
      <c r="E716" s="7"/>
      <c r="F716" s="9"/>
      <c r="H716" s="10"/>
      <c r="I716" s="10"/>
      <c r="J716" s="10"/>
      <c r="K716" s="10"/>
      <c r="L716" s="10"/>
      <c r="M716" s="10"/>
      <c r="N716" s="10"/>
      <c r="O716" s="7"/>
      <c r="P716" s="7"/>
      <c r="Q716" s="7"/>
      <c r="AB716" s="7"/>
    </row>
    <row r="717" spans="1:28" ht="13" x14ac:dyDescent="0.15">
      <c r="A717" s="7">
        <f t="shared" si="3"/>
        <v>6</v>
      </c>
      <c r="B717" s="7"/>
      <c r="C717" s="7"/>
      <c r="D717" s="7"/>
      <c r="E717" s="7"/>
      <c r="F717" s="9"/>
      <c r="H717" s="10"/>
      <c r="I717" s="10"/>
      <c r="J717" s="10"/>
      <c r="K717" s="10"/>
      <c r="L717" s="10"/>
      <c r="M717" s="10"/>
      <c r="N717" s="10"/>
      <c r="O717" s="7"/>
      <c r="P717" s="7"/>
      <c r="Q717" s="7"/>
      <c r="AB717" s="7"/>
    </row>
    <row r="718" spans="1:28" ht="13" x14ac:dyDescent="0.15">
      <c r="A718" s="7">
        <f t="shared" si="3"/>
        <v>6</v>
      </c>
      <c r="B718" s="7"/>
      <c r="C718" s="7"/>
      <c r="D718" s="7"/>
      <c r="E718" s="7"/>
      <c r="F718" s="9"/>
      <c r="H718" s="10"/>
      <c r="I718" s="10"/>
      <c r="J718" s="10"/>
      <c r="K718" s="10"/>
      <c r="L718" s="10"/>
      <c r="M718" s="10"/>
      <c r="N718" s="10"/>
      <c r="O718" s="7"/>
      <c r="P718" s="7"/>
      <c r="Q718" s="7"/>
      <c r="AB718" s="7"/>
    </row>
    <row r="719" spans="1:28" ht="13" x14ac:dyDescent="0.15">
      <c r="A719" s="7">
        <f t="shared" si="3"/>
        <v>6</v>
      </c>
      <c r="B719" s="7"/>
      <c r="C719" s="7"/>
      <c r="D719" s="7"/>
      <c r="E719" s="7"/>
      <c r="F719" s="9"/>
      <c r="H719" s="10"/>
      <c r="I719" s="10"/>
      <c r="J719" s="10"/>
      <c r="K719" s="10"/>
      <c r="L719" s="10"/>
      <c r="M719" s="10"/>
      <c r="N719" s="10"/>
      <c r="O719" s="7"/>
      <c r="P719" s="7"/>
      <c r="Q719" s="7"/>
      <c r="AB719" s="7"/>
    </row>
    <row r="720" spans="1:28" ht="13" x14ac:dyDescent="0.15">
      <c r="A720" s="7">
        <f t="shared" si="3"/>
        <v>6</v>
      </c>
      <c r="B720" s="7"/>
      <c r="C720" s="7"/>
      <c r="D720" s="7"/>
      <c r="E720" s="7"/>
      <c r="F720" s="9"/>
      <c r="H720" s="10"/>
      <c r="I720" s="10"/>
      <c r="J720" s="10"/>
      <c r="K720" s="10"/>
      <c r="L720" s="10"/>
      <c r="M720" s="10"/>
      <c r="N720" s="10"/>
      <c r="O720" s="7"/>
      <c r="P720" s="7"/>
      <c r="Q720" s="7"/>
      <c r="AB720" s="7"/>
    </row>
    <row r="721" spans="1:28" ht="13" x14ac:dyDescent="0.15">
      <c r="A721" s="7">
        <f t="shared" si="3"/>
        <v>6</v>
      </c>
      <c r="B721" s="7"/>
      <c r="C721" s="7"/>
      <c r="D721" s="7"/>
      <c r="E721" s="7"/>
      <c r="F721" s="9"/>
      <c r="H721" s="10"/>
      <c r="I721" s="10"/>
      <c r="J721" s="10"/>
      <c r="K721" s="10"/>
      <c r="L721" s="10"/>
      <c r="M721" s="10"/>
      <c r="N721" s="10"/>
      <c r="O721" s="7"/>
      <c r="P721" s="7"/>
      <c r="Q721" s="7"/>
      <c r="AB721" s="7"/>
    </row>
    <row r="722" spans="1:28" ht="13" x14ac:dyDescent="0.15">
      <c r="A722" s="7">
        <f t="shared" si="3"/>
        <v>6</v>
      </c>
      <c r="B722" s="7"/>
      <c r="C722" s="7"/>
      <c r="D722" s="7"/>
      <c r="E722" s="7"/>
      <c r="F722" s="9"/>
      <c r="H722" s="10"/>
      <c r="I722" s="10"/>
      <c r="J722" s="10"/>
      <c r="K722" s="10"/>
      <c r="L722" s="10"/>
      <c r="M722" s="10"/>
      <c r="N722" s="10"/>
      <c r="O722" s="7"/>
      <c r="P722" s="7"/>
      <c r="Q722" s="7"/>
      <c r="AB722" s="7"/>
    </row>
    <row r="723" spans="1:28" ht="13" x14ac:dyDescent="0.15">
      <c r="A723" s="7">
        <f t="shared" si="3"/>
        <v>6</v>
      </c>
      <c r="B723" s="7"/>
      <c r="C723" s="7"/>
      <c r="D723" s="7"/>
      <c r="E723" s="7"/>
      <c r="F723" s="9"/>
      <c r="H723" s="10"/>
      <c r="I723" s="10"/>
      <c r="J723" s="10"/>
      <c r="K723" s="10"/>
      <c r="L723" s="10"/>
      <c r="M723" s="10"/>
      <c r="N723" s="10"/>
      <c r="O723" s="7"/>
      <c r="P723" s="7"/>
      <c r="Q723" s="7"/>
      <c r="AB723" s="7"/>
    </row>
    <row r="724" spans="1:28" ht="13" x14ac:dyDescent="0.15">
      <c r="A724" s="7">
        <f t="shared" si="3"/>
        <v>6</v>
      </c>
      <c r="B724" s="7"/>
      <c r="C724" s="7"/>
      <c r="D724" s="7"/>
      <c r="E724" s="7"/>
      <c r="F724" s="9"/>
      <c r="H724" s="10"/>
      <c r="I724" s="10"/>
      <c r="J724" s="10"/>
      <c r="K724" s="10"/>
      <c r="L724" s="10"/>
      <c r="M724" s="10"/>
      <c r="N724" s="10"/>
      <c r="O724" s="7"/>
      <c r="P724" s="7"/>
      <c r="Q724" s="7"/>
      <c r="AB724" s="7"/>
    </row>
    <row r="725" spans="1:28" ht="13" x14ac:dyDescent="0.15">
      <c r="A725" s="7">
        <f t="shared" si="3"/>
        <v>6</v>
      </c>
      <c r="B725" s="7"/>
      <c r="C725" s="7"/>
      <c r="D725" s="7"/>
      <c r="E725" s="7"/>
      <c r="F725" s="9"/>
      <c r="H725" s="10"/>
      <c r="I725" s="10"/>
      <c r="J725" s="10"/>
      <c r="K725" s="10"/>
      <c r="L725" s="10"/>
      <c r="M725" s="10"/>
      <c r="N725" s="10"/>
      <c r="O725" s="7"/>
      <c r="P725" s="7"/>
      <c r="Q725" s="7"/>
      <c r="AB725" s="7"/>
    </row>
    <row r="726" spans="1:28" ht="13" x14ac:dyDescent="0.15">
      <c r="A726" s="7">
        <f t="shared" si="3"/>
        <v>6</v>
      </c>
      <c r="B726" s="7"/>
      <c r="C726" s="7"/>
      <c r="D726" s="7"/>
      <c r="E726" s="7"/>
      <c r="F726" s="9"/>
      <c r="H726" s="10"/>
      <c r="I726" s="10"/>
      <c r="J726" s="10"/>
      <c r="K726" s="10"/>
      <c r="L726" s="10"/>
      <c r="M726" s="10"/>
      <c r="N726" s="10"/>
      <c r="O726" s="7"/>
      <c r="P726" s="7"/>
      <c r="Q726" s="7"/>
      <c r="AB726" s="7"/>
    </row>
    <row r="727" spans="1:28" ht="13" x14ac:dyDescent="0.15">
      <c r="A727" s="7">
        <f t="shared" si="3"/>
        <v>6</v>
      </c>
      <c r="B727" s="7"/>
      <c r="C727" s="7"/>
      <c r="D727" s="7"/>
      <c r="E727" s="7"/>
      <c r="F727" s="9"/>
      <c r="H727" s="10"/>
      <c r="I727" s="10"/>
      <c r="J727" s="10"/>
      <c r="K727" s="10"/>
      <c r="L727" s="10"/>
      <c r="M727" s="10"/>
      <c r="N727" s="10"/>
      <c r="O727" s="7"/>
      <c r="P727" s="7"/>
      <c r="Q727" s="7"/>
      <c r="AB727" s="7"/>
    </row>
    <row r="728" spans="1:28" ht="13" x14ac:dyDescent="0.15">
      <c r="A728" s="7">
        <f t="shared" si="3"/>
        <v>6</v>
      </c>
      <c r="B728" s="7"/>
      <c r="C728" s="7"/>
      <c r="D728" s="7"/>
      <c r="E728" s="7"/>
      <c r="F728" s="9"/>
      <c r="H728" s="10"/>
      <c r="I728" s="10"/>
      <c r="J728" s="10"/>
      <c r="K728" s="10"/>
      <c r="L728" s="10"/>
      <c r="M728" s="10"/>
      <c r="N728" s="10"/>
      <c r="O728" s="7"/>
      <c r="P728" s="7"/>
      <c r="Q728" s="7"/>
      <c r="AB728" s="7"/>
    </row>
    <row r="729" spans="1:28" ht="13" x14ac:dyDescent="0.15">
      <c r="A729" s="7">
        <f t="shared" si="3"/>
        <v>6</v>
      </c>
      <c r="B729" s="7"/>
      <c r="C729" s="7"/>
      <c r="D729" s="7"/>
      <c r="E729" s="7"/>
      <c r="F729" s="9"/>
      <c r="H729" s="10"/>
      <c r="I729" s="10"/>
      <c r="J729" s="10"/>
      <c r="K729" s="10"/>
      <c r="L729" s="10"/>
      <c r="M729" s="10"/>
      <c r="N729" s="10"/>
      <c r="O729" s="7"/>
      <c r="P729" s="7"/>
      <c r="Q729" s="7"/>
      <c r="AB729" s="7"/>
    </row>
    <row r="730" spans="1:28" ht="13" x14ac:dyDescent="0.15">
      <c r="A730" s="7">
        <f t="shared" si="3"/>
        <v>6</v>
      </c>
      <c r="B730" s="7"/>
      <c r="C730" s="7"/>
      <c r="D730" s="7"/>
      <c r="E730" s="7"/>
      <c r="F730" s="9"/>
      <c r="H730" s="10"/>
      <c r="I730" s="10"/>
      <c r="J730" s="10"/>
      <c r="K730" s="10"/>
      <c r="L730" s="10"/>
      <c r="M730" s="10"/>
      <c r="N730" s="10"/>
      <c r="O730" s="7"/>
      <c r="P730" s="7"/>
      <c r="Q730" s="7"/>
      <c r="AB730" s="7"/>
    </row>
    <row r="731" spans="1:28" ht="13" x14ac:dyDescent="0.15">
      <c r="A731" s="7">
        <f t="shared" si="3"/>
        <v>6</v>
      </c>
      <c r="B731" s="7"/>
      <c r="C731" s="7"/>
      <c r="D731" s="7"/>
      <c r="E731" s="7"/>
      <c r="F731" s="9"/>
      <c r="H731" s="10"/>
      <c r="I731" s="10"/>
      <c r="J731" s="10"/>
      <c r="K731" s="10"/>
      <c r="L731" s="10"/>
      <c r="M731" s="10"/>
      <c r="N731" s="10"/>
      <c r="O731" s="7"/>
      <c r="P731" s="7"/>
      <c r="Q731" s="7"/>
      <c r="AB731" s="7"/>
    </row>
    <row r="732" spans="1:28" ht="13" x14ac:dyDescent="0.15">
      <c r="A732" s="7">
        <f t="shared" si="3"/>
        <v>6</v>
      </c>
      <c r="B732" s="7"/>
      <c r="C732" s="7"/>
      <c r="D732" s="7"/>
      <c r="E732" s="7"/>
      <c r="F732" s="9"/>
      <c r="H732" s="10"/>
      <c r="I732" s="10"/>
      <c r="J732" s="10"/>
      <c r="K732" s="10"/>
      <c r="L732" s="10"/>
      <c r="M732" s="10"/>
      <c r="N732" s="10"/>
      <c r="O732" s="7"/>
      <c r="P732" s="7"/>
      <c r="Q732" s="7"/>
      <c r="AB732" s="7"/>
    </row>
    <row r="733" spans="1:28" ht="13" x14ac:dyDescent="0.15">
      <c r="A733" s="7">
        <f t="shared" si="3"/>
        <v>6</v>
      </c>
      <c r="B733" s="7"/>
      <c r="C733" s="7"/>
      <c r="D733" s="7"/>
      <c r="E733" s="7"/>
      <c r="F733" s="9"/>
      <c r="H733" s="10"/>
      <c r="I733" s="10"/>
      <c r="J733" s="10"/>
      <c r="K733" s="10"/>
      <c r="L733" s="10"/>
      <c r="M733" s="10"/>
      <c r="N733" s="10"/>
      <c r="O733" s="7"/>
      <c r="P733" s="7"/>
      <c r="Q733" s="7"/>
      <c r="AB733" s="7"/>
    </row>
    <row r="734" spans="1:28" ht="13" x14ac:dyDescent="0.15">
      <c r="A734" s="7">
        <f t="shared" si="3"/>
        <v>6</v>
      </c>
      <c r="B734" s="7"/>
      <c r="C734" s="7"/>
      <c r="D734" s="7"/>
      <c r="E734" s="7"/>
      <c r="F734" s="9"/>
      <c r="H734" s="10"/>
      <c r="I734" s="10"/>
      <c r="J734" s="10"/>
      <c r="K734" s="10"/>
      <c r="L734" s="10"/>
      <c r="M734" s="10"/>
      <c r="N734" s="10"/>
      <c r="O734" s="7"/>
      <c r="P734" s="7"/>
      <c r="Q734" s="7"/>
      <c r="AB734" s="7"/>
    </row>
    <row r="735" spans="1:28" ht="13" x14ac:dyDescent="0.15">
      <c r="A735" s="7">
        <f t="shared" si="3"/>
        <v>6</v>
      </c>
      <c r="B735" s="7"/>
      <c r="C735" s="7"/>
      <c r="D735" s="7"/>
      <c r="E735" s="7"/>
      <c r="F735" s="9"/>
      <c r="H735" s="10"/>
      <c r="I735" s="10"/>
      <c r="J735" s="10"/>
      <c r="K735" s="10"/>
      <c r="L735" s="10"/>
      <c r="M735" s="10"/>
      <c r="N735" s="10"/>
      <c r="O735" s="7"/>
      <c r="P735" s="7"/>
      <c r="Q735" s="7"/>
      <c r="AB735" s="7"/>
    </row>
    <row r="736" spans="1:28" ht="13" x14ac:dyDescent="0.15">
      <c r="A736" s="7">
        <f t="shared" si="3"/>
        <v>6</v>
      </c>
      <c r="B736" s="7"/>
      <c r="C736" s="7"/>
      <c r="D736" s="7"/>
      <c r="E736" s="7"/>
      <c r="F736" s="9"/>
      <c r="H736" s="10"/>
      <c r="I736" s="10"/>
      <c r="J736" s="10"/>
      <c r="K736" s="10"/>
      <c r="L736" s="10"/>
      <c r="M736" s="10"/>
      <c r="N736" s="10"/>
      <c r="O736" s="7"/>
      <c r="P736" s="7"/>
      <c r="Q736" s="7"/>
      <c r="AB736" s="7"/>
    </row>
    <row r="737" spans="1:28" ht="13" x14ac:dyDescent="0.15">
      <c r="A737" s="7">
        <f t="shared" si="3"/>
        <v>6</v>
      </c>
      <c r="B737" s="7"/>
      <c r="C737" s="7"/>
      <c r="D737" s="7"/>
      <c r="E737" s="7"/>
      <c r="F737" s="9"/>
      <c r="H737" s="10"/>
      <c r="I737" s="10"/>
      <c r="J737" s="10"/>
      <c r="K737" s="10"/>
      <c r="L737" s="10"/>
      <c r="M737" s="10"/>
      <c r="N737" s="10"/>
      <c r="O737" s="7"/>
      <c r="P737" s="7"/>
      <c r="Q737" s="7"/>
      <c r="AB737" s="7"/>
    </row>
    <row r="738" spans="1:28" ht="13" x14ac:dyDescent="0.15">
      <c r="A738" s="7">
        <f t="shared" si="3"/>
        <v>6</v>
      </c>
      <c r="B738" s="7"/>
      <c r="C738" s="7"/>
      <c r="D738" s="7"/>
      <c r="E738" s="7"/>
      <c r="F738" s="9"/>
      <c r="H738" s="10"/>
      <c r="I738" s="10"/>
      <c r="J738" s="10"/>
      <c r="K738" s="10"/>
      <c r="L738" s="10"/>
      <c r="M738" s="10"/>
      <c r="N738" s="10"/>
      <c r="O738" s="7"/>
      <c r="P738" s="7"/>
      <c r="Q738" s="7"/>
      <c r="AB738" s="7"/>
    </row>
    <row r="739" spans="1:28" ht="13" x14ac:dyDescent="0.15">
      <c r="A739" s="7">
        <f t="shared" si="3"/>
        <v>6</v>
      </c>
      <c r="B739" s="7"/>
      <c r="C739" s="7"/>
      <c r="D739" s="7"/>
      <c r="E739" s="7"/>
      <c r="F739" s="9"/>
      <c r="H739" s="10"/>
      <c r="I739" s="10"/>
      <c r="J739" s="10"/>
      <c r="K739" s="10"/>
      <c r="L739" s="10"/>
      <c r="M739" s="10"/>
      <c r="N739" s="10"/>
      <c r="O739" s="7"/>
      <c r="P739" s="7"/>
      <c r="Q739" s="7"/>
      <c r="AB739" s="7"/>
    </row>
    <row r="740" spans="1:28" ht="13" x14ac:dyDescent="0.15">
      <c r="A740" s="7">
        <f t="shared" si="3"/>
        <v>6</v>
      </c>
      <c r="B740" s="7"/>
      <c r="C740" s="7"/>
      <c r="D740" s="7"/>
      <c r="E740" s="7"/>
      <c r="F740" s="9"/>
      <c r="H740" s="10"/>
      <c r="I740" s="10"/>
      <c r="J740" s="10"/>
      <c r="K740" s="10"/>
      <c r="L740" s="10"/>
      <c r="M740" s="10"/>
      <c r="N740" s="10"/>
      <c r="O740" s="7"/>
      <c r="P740" s="7"/>
      <c r="Q740" s="7"/>
      <c r="AB740" s="7"/>
    </row>
    <row r="741" spans="1:28" ht="13" x14ac:dyDescent="0.15">
      <c r="A741" s="7">
        <f t="shared" si="3"/>
        <v>6</v>
      </c>
      <c r="B741" s="7"/>
      <c r="C741" s="7"/>
      <c r="D741" s="7"/>
      <c r="E741" s="7"/>
      <c r="F741" s="9"/>
      <c r="H741" s="10"/>
      <c r="I741" s="10"/>
      <c r="J741" s="10"/>
      <c r="K741" s="10"/>
      <c r="L741" s="10"/>
      <c r="M741" s="10"/>
      <c r="N741" s="10"/>
      <c r="O741" s="7"/>
      <c r="P741" s="7"/>
      <c r="Q741" s="7"/>
      <c r="AB741" s="7"/>
    </row>
    <row r="742" spans="1:28" ht="13" x14ac:dyDescent="0.15">
      <c r="A742" s="7">
        <f t="shared" si="3"/>
        <v>6</v>
      </c>
      <c r="B742" s="7"/>
      <c r="C742" s="7"/>
      <c r="D742" s="7"/>
      <c r="E742" s="7"/>
      <c r="F742" s="9"/>
      <c r="H742" s="10"/>
      <c r="I742" s="10"/>
      <c r="J742" s="10"/>
      <c r="K742" s="10"/>
      <c r="L742" s="10"/>
      <c r="M742" s="10"/>
      <c r="N742" s="10"/>
      <c r="O742" s="7"/>
      <c r="P742" s="7"/>
      <c r="Q742" s="7"/>
      <c r="AB742" s="7"/>
    </row>
    <row r="743" spans="1:28" ht="13" x14ac:dyDescent="0.15">
      <c r="A743" s="7">
        <f t="shared" si="3"/>
        <v>6</v>
      </c>
      <c r="B743" s="7"/>
      <c r="C743" s="7"/>
      <c r="D743" s="7"/>
      <c r="E743" s="7"/>
      <c r="F743" s="9"/>
      <c r="H743" s="10"/>
      <c r="I743" s="10"/>
      <c r="J743" s="10"/>
      <c r="K743" s="10"/>
      <c r="L743" s="10"/>
      <c r="M743" s="10"/>
      <c r="N743" s="10"/>
      <c r="O743" s="7"/>
      <c r="P743" s="7"/>
      <c r="Q743" s="7"/>
      <c r="AB743" s="7"/>
    </row>
    <row r="744" spans="1:28" ht="13" x14ac:dyDescent="0.15">
      <c r="A744" s="7">
        <f t="shared" si="3"/>
        <v>6</v>
      </c>
      <c r="B744" s="7"/>
      <c r="C744" s="7"/>
      <c r="D744" s="7"/>
      <c r="E744" s="7"/>
      <c r="F744" s="9"/>
      <c r="H744" s="10"/>
      <c r="I744" s="10"/>
      <c r="J744" s="10"/>
      <c r="K744" s="10"/>
      <c r="L744" s="10"/>
      <c r="M744" s="10"/>
      <c r="N744" s="10"/>
      <c r="O744" s="7"/>
      <c r="P744" s="7"/>
      <c r="Q744" s="7"/>
      <c r="AB744" s="7"/>
    </row>
    <row r="745" spans="1:28" ht="13" x14ac:dyDescent="0.15">
      <c r="A745" s="7">
        <f t="shared" si="3"/>
        <v>6</v>
      </c>
      <c r="B745" s="7"/>
      <c r="C745" s="7"/>
      <c r="D745" s="7"/>
      <c r="E745" s="7"/>
      <c r="F745" s="9"/>
      <c r="H745" s="10"/>
      <c r="I745" s="10"/>
      <c r="J745" s="10"/>
      <c r="K745" s="10"/>
      <c r="L745" s="10"/>
      <c r="M745" s="10"/>
      <c r="N745" s="10"/>
      <c r="O745" s="7"/>
      <c r="P745" s="7"/>
      <c r="Q745" s="7"/>
      <c r="AB745" s="7"/>
    </row>
    <row r="746" spans="1:28" ht="13" x14ac:dyDescent="0.15">
      <c r="A746" s="7">
        <f t="shared" si="3"/>
        <v>6</v>
      </c>
      <c r="B746" s="7"/>
      <c r="C746" s="7"/>
      <c r="D746" s="7"/>
      <c r="E746" s="7"/>
      <c r="F746" s="9"/>
      <c r="H746" s="10"/>
      <c r="I746" s="10"/>
      <c r="J746" s="10"/>
      <c r="K746" s="10"/>
      <c r="L746" s="10"/>
      <c r="M746" s="10"/>
      <c r="N746" s="10"/>
      <c r="O746" s="7"/>
      <c r="P746" s="7"/>
      <c r="Q746" s="7"/>
      <c r="AB746" s="7"/>
    </row>
    <row r="747" spans="1:28" ht="13" x14ac:dyDescent="0.15">
      <c r="A747" s="7">
        <f t="shared" si="3"/>
        <v>6</v>
      </c>
      <c r="B747" s="7"/>
      <c r="C747" s="7"/>
      <c r="D747" s="7"/>
      <c r="E747" s="7"/>
      <c r="F747" s="9"/>
      <c r="H747" s="10"/>
      <c r="I747" s="10"/>
      <c r="J747" s="10"/>
      <c r="K747" s="10"/>
      <c r="L747" s="10"/>
      <c r="M747" s="10"/>
      <c r="N747" s="10"/>
      <c r="O747" s="7"/>
      <c r="P747" s="7"/>
      <c r="Q747" s="7"/>
      <c r="AB747" s="7"/>
    </row>
    <row r="748" spans="1:28" ht="13" x14ac:dyDescent="0.15">
      <c r="A748" s="7">
        <f t="shared" si="3"/>
        <v>6</v>
      </c>
      <c r="B748" s="7"/>
      <c r="C748" s="7"/>
      <c r="D748" s="7"/>
      <c r="E748" s="7"/>
      <c r="F748" s="9"/>
      <c r="H748" s="10"/>
      <c r="I748" s="10"/>
      <c r="J748" s="10"/>
      <c r="K748" s="10"/>
      <c r="L748" s="10"/>
      <c r="M748" s="10"/>
      <c r="N748" s="10"/>
      <c r="O748" s="7"/>
      <c r="P748" s="7"/>
      <c r="Q748" s="7"/>
      <c r="AB748" s="7"/>
    </row>
    <row r="749" spans="1:28" ht="13" x14ac:dyDescent="0.15">
      <c r="A749" s="7">
        <f t="shared" si="3"/>
        <v>6</v>
      </c>
      <c r="B749" s="7"/>
      <c r="C749" s="7"/>
      <c r="D749" s="7"/>
      <c r="E749" s="7"/>
      <c r="F749" s="9"/>
      <c r="H749" s="10"/>
      <c r="I749" s="10"/>
      <c r="J749" s="10"/>
      <c r="K749" s="10"/>
      <c r="L749" s="10"/>
      <c r="M749" s="10"/>
      <c r="N749" s="10"/>
      <c r="O749" s="7"/>
      <c r="P749" s="7"/>
      <c r="Q749" s="7"/>
      <c r="AB749" s="7"/>
    </row>
    <row r="750" spans="1:28" ht="13" x14ac:dyDescent="0.15">
      <c r="A750" s="7">
        <f t="shared" si="3"/>
        <v>6</v>
      </c>
      <c r="B750" s="7"/>
      <c r="C750" s="7"/>
      <c r="D750" s="7"/>
      <c r="E750" s="7"/>
      <c r="F750" s="9"/>
      <c r="H750" s="10"/>
      <c r="I750" s="10"/>
      <c r="J750" s="10"/>
      <c r="K750" s="10"/>
      <c r="L750" s="10"/>
      <c r="M750" s="10"/>
      <c r="N750" s="10"/>
      <c r="O750" s="7"/>
      <c r="P750" s="7"/>
      <c r="Q750" s="7"/>
      <c r="AB750" s="7"/>
    </row>
    <row r="751" spans="1:28" ht="13" x14ac:dyDescent="0.15">
      <c r="A751" s="7">
        <f t="shared" si="3"/>
        <v>6</v>
      </c>
      <c r="B751" s="7"/>
      <c r="C751" s="7"/>
      <c r="D751" s="7"/>
      <c r="E751" s="7"/>
      <c r="F751" s="9"/>
      <c r="H751" s="10"/>
      <c r="I751" s="10"/>
      <c r="J751" s="10"/>
      <c r="K751" s="10"/>
      <c r="L751" s="10"/>
      <c r="M751" s="10"/>
      <c r="N751" s="10"/>
      <c r="O751" s="7"/>
      <c r="P751" s="7"/>
      <c r="Q751" s="7"/>
      <c r="AB751" s="7"/>
    </row>
    <row r="752" spans="1:28" ht="13" x14ac:dyDescent="0.15">
      <c r="A752" s="7">
        <f t="shared" si="3"/>
        <v>6</v>
      </c>
      <c r="B752" s="7"/>
      <c r="C752" s="7"/>
      <c r="D752" s="7"/>
      <c r="E752" s="7"/>
      <c r="F752" s="9"/>
      <c r="H752" s="10"/>
      <c r="I752" s="10"/>
      <c r="J752" s="10"/>
      <c r="K752" s="10"/>
      <c r="L752" s="10"/>
      <c r="M752" s="10"/>
      <c r="N752" s="10"/>
      <c r="O752" s="7"/>
      <c r="P752" s="7"/>
      <c r="Q752" s="7"/>
      <c r="AB752" s="7"/>
    </row>
    <row r="753" spans="1:28" ht="13" x14ac:dyDescent="0.15">
      <c r="A753" s="7">
        <f t="shared" si="3"/>
        <v>6</v>
      </c>
      <c r="B753" s="7"/>
      <c r="C753" s="7"/>
      <c r="D753" s="7"/>
      <c r="E753" s="7"/>
      <c r="F753" s="9"/>
      <c r="H753" s="10"/>
      <c r="I753" s="10"/>
      <c r="J753" s="10"/>
      <c r="K753" s="10"/>
      <c r="L753" s="10"/>
      <c r="M753" s="10"/>
      <c r="N753" s="10"/>
      <c r="O753" s="7"/>
      <c r="P753" s="7"/>
      <c r="Q753" s="7"/>
      <c r="AB753" s="7"/>
    </row>
    <row r="754" spans="1:28" ht="13" x14ac:dyDescent="0.15">
      <c r="A754" s="7">
        <f t="shared" si="3"/>
        <v>6</v>
      </c>
      <c r="B754" s="7"/>
      <c r="C754" s="7"/>
      <c r="D754" s="7"/>
      <c r="E754" s="7"/>
      <c r="F754" s="9"/>
      <c r="H754" s="10"/>
      <c r="I754" s="10"/>
      <c r="J754" s="10"/>
      <c r="K754" s="10"/>
      <c r="L754" s="10"/>
      <c r="M754" s="10"/>
      <c r="N754" s="10"/>
      <c r="O754" s="7"/>
      <c r="P754" s="7"/>
      <c r="Q754" s="7"/>
      <c r="AB754" s="7"/>
    </row>
    <row r="755" spans="1:28" ht="13" x14ac:dyDescent="0.15">
      <c r="A755" s="7">
        <f t="shared" si="3"/>
        <v>6</v>
      </c>
      <c r="B755" s="7"/>
      <c r="C755" s="7"/>
      <c r="D755" s="7"/>
      <c r="E755" s="7"/>
      <c r="F755" s="9"/>
      <c r="H755" s="10"/>
      <c r="I755" s="10"/>
      <c r="J755" s="10"/>
      <c r="K755" s="10"/>
      <c r="L755" s="10"/>
      <c r="M755" s="10"/>
      <c r="N755" s="10"/>
      <c r="O755" s="7"/>
      <c r="P755" s="7"/>
      <c r="Q755" s="7"/>
      <c r="AB755" s="7"/>
    </row>
    <row r="756" spans="1:28" ht="13" x14ac:dyDescent="0.15">
      <c r="A756" s="7">
        <f t="shared" si="3"/>
        <v>6</v>
      </c>
      <c r="B756" s="7"/>
      <c r="C756" s="7"/>
      <c r="D756" s="7"/>
      <c r="E756" s="7"/>
      <c r="F756" s="9"/>
      <c r="H756" s="10"/>
      <c r="I756" s="10"/>
      <c r="J756" s="10"/>
      <c r="K756" s="10"/>
      <c r="L756" s="10"/>
      <c r="M756" s="10"/>
      <c r="N756" s="10"/>
      <c r="O756" s="7"/>
      <c r="P756" s="7"/>
      <c r="Q756" s="7"/>
      <c r="AB756" s="7"/>
    </row>
    <row r="757" spans="1:28" ht="13" x14ac:dyDescent="0.15">
      <c r="A757" s="7">
        <f t="shared" si="3"/>
        <v>6</v>
      </c>
      <c r="B757" s="7"/>
      <c r="C757" s="7"/>
      <c r="D757" s="7"/>
      <c r="E757" s="7"/>
      <c r="F757" s="9"/>
      <c r="H757" s="10"/>
      <c r="I757" s="10"/>
      <c r="J757" s="10"/>
      <c r="K757" s="10"/>
      <c r="L757" s="10"/>
      <c r="M757" s="10"/>
      <c r="N757" s="10"/>
      <c r="O757" s="7"/>
      <c r="P757" s="7"/>
      <c r="Q757" s="7"/>
      <c r="AB757" s="7"/>
    </row>
    <row r="758" spans="1:28" ht="13" x14ac:dyDescent="0.15">
      <c r="A758" s="7">
        <f t="shared" si="3"/>
        <v>6</v>
      </c>
      <c r="B758" s="7"/>
      <c r="C758" s="7"/>
      <c r="D758" s="7"/>
      <c r="E758" s="7"/>
      <c r="F758" s="9"/>
      <c r="H758" s="10"/>
      <c r="I758" s="10"/>
      <c r="J758" s="10"/>
      <c r="K758" s="10"/>
      <c r="L758" s="10"/>
      <c r="M758" s="10"/>
      <c r="N758" s="10"/>
      <c r="O758" s="7"/>
      <c r="P758" s="7"/>
      <c r="Q758" s="7"/>
      <c r="AB758" s="7"/>
    </row>
    <row r="759" spans="1:28" ht="13" x14ac:dyDescent="0.15">
      <c r="A759" s="7">
        <f t="shared" si="3"/>
        <v>6</v>
      </c>
      <c r="B759" s="7"/>
      <c r="C759" s="7"/>
      <c r="D759" s="7"/>
      <c r="E759" s="7"/>
      <c r="F759" s="9"/>
      <c r="H759" s="10"/>
      <c r="I759" s="10"/>
      <c r="J759" s="10"/>
      <c r="K759" s="10"/>
      <c r="L759" s="10"/>
      <c r="M759" s="10"/>
      <c r="N759" s="10"/>
      <c r="O759" s="7"/>
      <c r="P759" s="7"/>
      <c r="Q759" s="7"/>
      <c r="AB759" s="7"/>
    </row>
    <row r="760" spans="1:28" ht="13" x14ac:dyDescent="0.15">
      <c r="A760" s="7">
        <f t="shared" si="3"/>
        <v>6</v>
      </c>
      <c r="B760" s="7"/>
      <c r="C760" s="7"/>
      <c r="D760" s="7"/>
      <c r="E760" s="7"/>
      <c r="F760" s="9"/>
      <c r="H760" s="10"/>
      <c r="I760" s="10"/>
      <c r="J760" s="10"/>
      <c r="K760" s="10"/>
      <c r="L760" s="10"/>
      <c r="M760" s="10"/>
      <c r="N760" s="10"/>
      <c r="O760" s="7"/>
      <c r="P760" s="7"/>
      <c r="Q760" s="7"/>
      <c r="AB760" s="7"/>
    </row>
    <row r="761" spans="1:28" ht="13" x14ac:dyDescent="0.15">
      <c r="A761" s="7">
        <f t="shared" si="3"/>
        <v>6</v>
      </c>
      <c r="B761" s="7"/>
      <c r="C761" s="7"/>
      <c r="D761" s="7"/>
      <c r="E761" s="7"/>
      <c r="F761" s="9"/>
      <c r="H761" s="10"/>
      <c r="I761" s="10"/>
      <c r="J761" s="10"/>
      <c r="K761" s="10"/>
      <c r="L761" s="10"/>
      <c r="M761" s="10"/>
      <c r="N761" s="10"/>
      <c r="O761" s="7"/>
      <c r="P761" s="7"/>
      <c r="Q761" s="7"/>
      <c r="AB761" s="7"/>
    </row>
    <row r="762" spans="1:28" ht="13" x14ac:dyDescent="0.15">
      <c r="A762" s="7">
        <f t="shared" si="3"/>
        <v>6</v>
      </c>
      <c r="B762" s="7"/>
      <c r="C762" s="7"/>
      <c r="D762" s="7"/>
      <c r="E762" s="7"/>
      <c r="F762" s="9"/>
      <c r="H762" s="10"/>
      <c r="I762" s="10"/>
      <c r="J762" s="10"/>
      <c r="K762" s="10"/>
      <c r="L762" s="10"/>
      <c r="M762" s="10"/>
      <c r="N762" s="10"/>
      <c r="O762" s="7"/>
      <c r="P762" s="7"/>
      <c r="Q762" s="7"/>
      <c r="AB762" s="7"/>
    </row>
    <row r="763" spans="1:28" ht="13" x14ac:dyDescent="0.15">
      <c r="A763" s="7">
        <f t="shared" si="3"/>
        <v>6</v>
      </c>
      <c r="B763" s="7"/>
      <c r="C763" s="7"/>
      <c r="D763" s="7"/>
      <c r="E763" s="7"/>
      <c r="F763" s="9"/>
      <c r="H763" s="10"/>
      <c r="I763" s="10"/>
      <c r="J763" s="10"/>
      <c r="K763" s="10"/>
      <c r="L763" s="10"/>
      <c r="M763" s="10"/>
      <c r="N763" s="10"/>
      <c r="O763" s="7"/>
      <c r="P763" s="7"/>
      <c r="Q763" s="7"/>
      <c r="AB763" s="7"/>
    </row>
    <row r="764" spans="1:28" ht="13" x14ac:dyDescent="0.15">
      <c r="A764" s="7">
        <f t="shared" si="3"/>
        <v>6</v>
      </c>
      <c r="B764" s="7"/>
      <c r="C764" s="7"/>
      <c r="D764" s="7"/>
      <c r="E764" s="7"/>
      <c r="F764" s="9"/>
      <c r="H764" s="10"/>
      <c r="I764" s="10"/>
      <c r="J764" s="10"/>
      <c r="K764" s="10"/>
      <c r="L764" s="10"/>
      <c r="M764" s="10"/>
      <c r="N764" s="10"/>
      <c r="O764" s="7"/>
      <c r="P764" s="7"/>
      <c r="Q764" s="7"/>
      <c r="AB764" s="7"/>
    </row>
    <row r="765" spans="1:28" ht="13" x14ac:dyDescent="0.15">
      <c r="A765" s="7">
        <f t="shared" si="3"/>
        <v>6</v>
      </c>
      <c r="B765" s="7"/>
      <c r="C765" s="7"/>
      <c r="D765" s="7"/>
      <c r="E765" s="7"/>
      <c r="F765" s="9"/>
      <c r="H765" s="10"/>
      <c r="I765" s="10"/>
      <c r="J765" s="10"/>
      <c r="K765" s="10"/>
      <c r="L765" s="10"/>
      <c r="M765" s="10"/>
      <c r="N765" s="10"/>
      <c r="O765" s="7"/>
      <c r="P765" s="7"/>
      <c r="Q765" s="7"/>
      <c r="AB765" s="7"/>
    </row>
    <row r="766" spans="1:28" ht="13" x14ac:dyDescent="0.15">
      <c r="A766" s="7">
        <f t="shared" si="3"/>
        <v>6</v>
      </c>
      <c r="B766" s="7"/>
      <c r="C766" s="7"/>
      <c r="D766" s="7"/>
      <c r="E766" s="7"/>
      <c r="F766" s="9"/>
      <c r="H766" s="10"/>
      <c r="I766" s="10"/>
      <c r="J766" s="10"/>
      <c r="K766" s="10"/>
      <c r="L766" s="10"/>
      <c r="M766" s="10"/>
      <c r="N766" s="10"/>
      <c r="O766" s="7"/>
      <c r="P766" s="7"/>
      <c r="Q766" s="7"/>
      <c r="AB766" s="7"/>
    </row>
    <row r="767" spans="1:28" ht="13" x14ac:dyDescent="0.15">
      <c r="A767" s="7">
        <f t="shared" si="3"/>
        <v>6</v>
      </c>
      <c r="B767" s="7"/>
      <c r="C767" s="7"/>
      <c r="D767" s="7"/>
      <c r="E767" s="7"/>
      <c r="F767" s="9"/>
      <c r="H767" s="10"/>
      <c r="I767" s="10"/>
      <c r="J767" s="10"/>
      <c r="K767" s="10"/>
      <c r="L767" s="10"/>
      <c r="M767" s="10"/>
      <c r="N767" s="10"/>
      <c r="O767" s="7"/>
      <c r="P767" s="7"/>
      <c r="Q767" s="7"/>
      <c r="AB767" s="7"/>
    </row>
    <row r="768" spans="1:28" ht="13" x14ac:dyDescent="0.15">
      <c r="A768" s="7">
        <f t="shared" ref="A768:A978" si="4">ISBLANK(B768)+ISBLANK(C768)+ISBLANK(D768)+ISBLANK(E768)+ISBLANK(F768)+ISBLANK(G768)</f>
        <v>6</v>
      </c>
      <c r="B768" s="7"/>
      <c r="C768" s="7"/>
      <c r="D768" s="7"/>
      <c r="E768" s="7"/>
      <c r="F768" s="9"/>
      <c r="H768" s="10"/>
      <c r="I768" s="10"/>
      <c r="J768" s="10"/>
      <c r="K768" s="10"/>
      <c r="L768" s="10"/>
      <c r="M768" s="10"/>
      <c r="N768" s="10"/>
      <c r="O768" s="7"/>
      <c r="P768" s="7"/>
      <c r="Q768" s="7"/>
      <c r="AB768" s="7"/>
    </row>
    <row r="769" spans="1:28" ht="13" x14ac:dyDescent="0.15">
      <c r="A769" s="7">
        <f t="shared" si="4"/>
        <v>6</v>
      </c>
      <c r="B769" s="7"/>
      <c r="C769" s="7"/>
      <c r="D769" s="7"/>
      <c r="E769" s="7"/>
      <c r="F769" s="9"/>
      <c r="H769" s="10"/>
      <c r="I769" s="10"/>
      <c r="J769" s="10"/>
      <c r="K769" s="10"/>
      <c r="L769" s="10"/>
      <c r="M769" s="10"/>
      <c r="N769" s="10"/>
      <c r="O769" s="7"/>
      <c r="P769" s="7"/>
      <c r="Q769" s="7"/>
      <c r="AB769" s="7"/>
    </row>
    <row r="770" spans="1:28" ht="13" x14ac:dyDescent="0.15">
      <c r="A770" s="7">
        <f t="shared" si="4"/>
        <v>6</v>
      </c>
      <c r="B770" s="7"/>
      <c r="C770" s="7"/>
      <c r="D770" s="7"/>
      <c r="E770" s="7"/>
      <c r="F770" s="9"/>
      <c r="H770" s="10"/>
      <c r="I770" s="10"/>
      <c r="J770" s="10"/>
      <c r="K770" s="10"/>
      <c r="L770" s="10"/>
      <c r="M770" s="10"/>
      <c r="N770" s="10"/>
      <c r="O770" s="7"/>
      <c r="P770" s="7"/>
      <c r="Q770" s="7"/>
      <c r="AB770" s="7"/>
    </row>
    <row r="771" spans="1:28" ht="13" x14ac:dyDescent="0.15">
      <c r="A771" s="7">
        <f t="shared" si="4"/>
        <v>6</v>
      </c>
      <c r="B771" s="7"/>
      <c r="C771" s="7"/>
      <c r="D771" s="7"/>
      <c r="E771" s="7"/>
      <c r="F771" s="9"/>
      <c r="H771" s="10"/>
      <c r="I771" s="10"/>
      <c r="J771" s="10"/>
      <c r="K771" s="10"/>
      <c r="L771" s="10"/>
      <c r="M771" s="10"/>
      <c r="N771" s="10"/>
      <c r="O771" s="7"/>
      <c r="P771" s="7"/>
      <c r="Q771" s="7"/>
      <c r="AB771" s="7"/>
    </row>
    <row r="772" spans="1:28" ht="13" x14ac:dyDescent="0.15">
      <c r="A772" s="7">
        <f t="shared" si="4"/>
        <v>6</v>
      </c>
      <c r="B772" s="7"/>
      <c r="C772" s="7"/>
      <c r="D772" s="7"/>
      <c r="E772" s="7"/>
      <c r="F772" s="9"/>
      <c r="H772" s="10"/>
      <c r="I772" s="10"/>
      <c r="J772" s="10"/>
      <c r="K772" s="10"/>
      <c r="L772" s="10"/>
      <c r="M772" s="10"/>
      <c r="N772" s="10"/>
      <c r="O772" s="7"/>
      <c r="P772" s="7"/>
      <c r="Q772" s="7"/>
      <c r="AB772" s="7"/>
    </row>
    <row r="773" spans="1:28" ht="13" x14ac:dyDescent="0.15">
      <c r="A773" s="7">
        <f t="shared" si="4"/>
        <v>6</v>
      </c>
      <c r="B773" s="7"/>
      <c r="C773" s="7"/>
      <c r="D773" s="7"/>
      <c r="E773" s="7"/>
      <c r="F773" s="9"/>
      <c r="H773" s="10"/>
      <c r="I773" s="10"/>
      <c r="J773" s="10"/>
      <c r="K773" s="10"/>
      <c r="L773" s="10"/>
      <c r="M773" s="10"/>
      <c r="N773" s="10"/>
      <c r="O773" s="7"/>
      <c r="P773" s="7"/>
      <c r="Q773" s="7"/>
      <c r="AB773" s="7"/>
    </row>
    <row r="774" spans="1:28" ht="13" x14ac:dyDescent="0.15">
      <c r="A774" s="7">
        <f t="shared" si="4"/>
        <v>6</v>
      </c>
      <c r="B774" s="7"/>
      <c r="C774" s="7"/>
      <c r="D774" s="7"/>
      <c r="E774" s="7"/>
      <c r="F774" s="9"/>
      <c r="H774" s="10"/>
      <c r="I774" s="10"/>
      <c r="J774" s="10"/>
      <c r="K774" s="10"/>
      <c r="L774" s="10"/>
      <c r="M774" s="10"/>
      <c r="N774" s="10"/>
      <c r="O774" s="7"/>
      <c r="P774" s="7"/>
      <c r="Q774" s="7"/>
      <c r="AB774" s="7"/>
    </row>
    <row r="775" spans="1:28" ht="13" x14ac:dyDescent="0.15">
      <c r="A775" s="7">
        <f t="shared" si="4"/>
        <v>6</v>
      </c>
      <c r="B775" s="7"/>
      <c r="C775" s="7"/>
      <c r="D775" s="7"/>
      <c r="E775" s="7"/>
      <c r="F775" s="9"/>
      <c r="H775" s="10"/>
      <c r="I775" s="10"/>
      <c r="J775" s="10"/>
      <c r="K775" s="10"/>
      <c r="L775" s="10"/>
      <c r="M775" s="10"/>
      <c r="N775" s="10"/>
      <c r="O775" s="7"/>
      <c r="P775" s="7"/>
      <c r="Q775" s="7"/>
      <c r="AB775" s="7"/>
    </row>
    <row r="776" spans="1:28" ht="13" x14ac:dyDescent="0.15">
      <c r="A776" s="7">
        <f t="shared" si="4"/>
        <v>6</v>
      </c>
      <c r="B776" s="7"/>
      <c r="C776" s="7"/>
      <c r="D776" s="7"/>
      <c r="E776" s="7"/>
      <c r="F776" s="9"/>
      <c r="H776" s="10"/>
      <c r="I776" s="10"/>
      <c r="J776" s="10"/>
      <c r="K776" s="10"/>
      <c r="L776" s="10"/>
      <c r="M776" s="10"/>
      <c r="N776" s="10"/>
      <c r="O776" s="7"/>
      <c r="P776" s="7"/>
      <c r="Q776" s="7"/>
      <c r="AB776" s="7"/>
    </row>
    <row r="777" spans="1:28" ht="13" x14ac:dyDescent="0.15">
      <c r="A777" s="7">
        <f t="shared" si="4"/>
        <v>6</v>
      </c>
      <c r="B777" s="7"/>
      <c r="C777" s="7"/>
      <c r="D777" s="7"/>
      <c r="E777" s="7"/>
      <c r="F777" s="9"/>
      <c r="H777" s="10"/>
      <c r="I777" s="10"/>
      <c r="J777" s="10"/>
      <c r="K777" s="10"/>
      <c r="L777" s="10"/>
      <c r="M777" s="10"/>
      <c r="N777" s="10"/>
      <c r="O777" s="7"/>
      <c r="P777" s="7"/>
      <c r="Q777" s="7"/>
      <c r="AB777" s="7"/>
    </row>
    <row r="778" spans="1:28" ht="13" x14ac:dyDescent="0.15">
      <c r="A778" s="7">
        <f t="shared" si="4"/>
        <v>6</v>
      </c>
      <c r="B778" s="7"/>
      <c r="C778" s="7"/>
      <c r="D778" s="7"/>
      <c r="E778" s="7"/>
      <c r="F778" s="9"/>
      <c r="H778" s="10"/>
      <c r="I778" s="10"/>
      <c r="J778" s="10"/>
      <c r="K778" s="10"/>
      <c r="L778" s="10"/>
      <c r="M778" s="10"/>
      <c r="N778" s="10"/>
      <c r="O778" s="7"/>
      <c r="P778" s="7"/>
      <c r="Q778" s="7"/>
      <c r="AB778" s="7"/>
    </row>
    <row r="779" spans="1:28" ht="13" x14ac:dyDescent="0.15">
      <c r="A779" s="7">
        <f t="shared" si="4"/>
        <v>6</v>
      </c>
      <c r="B779" s="7"/>
      <c r="C779" s="7"/>
      <c r="D779" s="7"/>
      <c r="E779" s="7"/>
      <c r="F779" s="9"/>
      <c r="H779" s="10"/>
      <c r="I779" s="10"/>
      <c r="J779" s="10"/>
      <c r="K779" s="10"/>
      <c r="L779" s="10"/>
      <c r="M779" s="10"/>
      <c r="N779" s="10"/>
      <c r="O779" s="7"/>
      <c r="P779" s="7"/>
      <c r="Q779" s="7"/>
      <c r="AB779" s="7"/>
    </row>
    <row r="780" spans="1:28" ht="13" x14ac:dyDescent="0.15">
      <c r="A780" s="7">
        <f t="shared" si="4"/>
        <v>6</v>
      </c>
      <c r="B780" s="7"/>
      <c r="C780" s="7"/>
      <c r="D780" s="7"/>
      <c r="E780" s="7"/>
      <c r="F780" s="9"/>
      <c r="H780" s="10"/>
      <c r="I780" s="10"/>
      <c r="J780" s="10"/>
      <c r="K780" s="10"/>
      <c r="L780" s="10"/>
      <c r="M780" s="10"/>
      <c r="N780" s="10"/>
      <c r="O780" s="7"/>
      <c r="P780" s="7"/>
      <c r="Q780" s="7"/>
      <c r="AB780" s="7"/>
    </row>
    <row r="781" spans="1:28" ht="13" x14ac:dyDescent="0.15">
      <c r="A781" s="7">
        <f t="shared" si="4"/>
        <v>6</v>
      </c>
      <c r="B781" s="7"/>
      <c r="C781" s="7"/>
      <c r="D781" s="7"/>
      <c r="E781" s="7"/>
      <c r="F781" s="9"/>
      <c r="H781" s="10"/>
      <c r="I781" s="10"/>
      <c r="J781" s="10"/>
      <c r="K781" s="10"/>
      <c r="L781" s="10"/>
      <c r="M781" s="10"/>
      <c r="N781" s="10"/>
      <c r="O781" s="7"/>
      <c r="P781" s="7"/>
      <c r="Q781" s="7"/>
      <c r="AB781" s="7"/>
    </row>
    <row r="782" spans="1:28" ht="13" x14ac:dyDescent="0.15">
      <c r="A782" s="7">
        <f t="shared" si="4"/>
        <v>6</v>
      </c>
      <c r="B782" s="7"/>
      <c r="C782" s="7"/>
      <c r="D782" s="7"/>
      <c r="E782" s="7"/>
      <c r="F782" s="9"/>
      <c r="H782" s="10"/>
      <c r="I782" s="10"/>
      <c r="J782" s="10"/>
      <c r="K782" s="10"/>
      <c r="L782" s="10"/>
      <c r="M782" s="10"/>
      <c r="N782" s="10"/>
      <c r="O782" s="7"/>
      <c r="P782" s="7"/>
      <c r="Q782" s="7"/>
      <c r="AB782" s="7"/>
    </row>
    <row r="783" spans="1:28" ht="13" x14ac:dyDescent="0.15">
      <c r="A783" s="7">
        <f t="shared" si="4"/>
        <v>6</v>
      </c>
      <c r="B783" s="7"/>
      <c r="C783" s="7"/>
      <c r="D783" s="7"/>
      <c r="E783" s="7"/>
      <c r="F783" s="9"/>
      <c r="H783" s="10"/>
      <c r="I783" s="10"/>
      <c r="J783" s="10"/>
      <c r="K783" s="10"/>
      <c r="L783" s="10"/>
      <c r="M783" s="10"/>
      <c r="N783" s="10"/>
      <c r="O783" s="7"/>
      <c r="P783" s="7"/>
      <c r="Q783" s="7"/>
      <c r="AB783" s="7"/>
    </row>
    <row r="784" spans="1:28" ht="13" x14ac:dyDescent="0.15">
      <c r="A784" s="7">
        <f t="shared" si="4"/>
        <v>6</v>
      </c>
      <c r="B784" s="7"/>
      <c r="C784" s="7"/>
      <c r="D784" s="7"/>
      <c r="E784" s="7"/>
      <c r="F784" s="9"/>
      <c r="H784" s="10"/>
      <c r="I784" s="10"/>
      <c r="J784" s="10"/>
      <c r="K784" s="10"/>
      <c r="L784" s="10"/>
      <c r="M784" s="10"/>
      <c r="N784" s="10"/>
      <c r="O784" s="7"/>
      <c r="P784" s="7"/>
      <c r="Q784" s="7"/>
      <c r="AB784" s="7"/>
    </row>
    <row r="785" spans="1:28" ht="13" x14ac:dyDescent="0.15">
      <c r="A785" s="7">
        <f t="shared" si="4"/>
        <v>6</v>
      </c>
      <c r="B785" s="7"/>
      <c r="C785" s="7"/>
      <c r="D785" s="7"/>
      <c r="E785" s="7"/>
      <c r="F785" s="9"/>
      <c r="H785" s="10"/>
      <c r="I785" s="10"/>
      <c r="J785" s="10"/>
      <c r="K785" s="10"/>
      <c r="L785" s="10"/>
      <c r="M785" s="10"/>
      <c r="N785" s="10"/>
      <c r="O785" s="7"/>
      <c r="P785" s="7"/>
      <c r="Q785" s="7"/>
      <c r="AB785" s="7"/>
    </row>
    <row r="786" spans="1:28" ht="13" x14ac:dyDescent="0.15">
      <c r="A786" s="7">
        <f t="shared" si="4"/>
        <v>6</v>
      </c>
      <c r="B786" s="7"/>
      <c r="C786" s="7"/>
      <c r="D786" s="7"/>
      <c r="E786" s="7"/>
      <c r="F786" s="9"/>
      <c r="H786" s="10"/>
      <c r="I786" s="10"/>
      <c r="J786" s="10"/>
      <c r="K786" s="10"/>
      <c r="L786" s="10"/>
      <c r="M786" s="10"/>
      <c r="N786" s="10"/>
      <c r="O786" s="7"/>
      <c r="P786" s="7"/>
      <c r="Q786" s="7"/>
      <c r="AB786" s="7"/>
    </row>
    <row r="787" spans="1:28" ht="13" x14ac:dyDescent="0.15">
      <c r="A787" s="7">
        <f t="shared" si="4"/>
        <v>6</v>
      </c>
      <c r="B787" s="7"/>
      <c r="C787" s="7"/>
      <c r="D787" s="7"/>
      <c r="E787" s="7"/>
      <c r="F787" s="9"/>
      <c r="H787" s="10"/>
      <c r="I787" s="10"/>
      <c r="J787" s="10"/>
      <c r="K787" s="10"/>
      <c r="L787" s="10"/>
      <c r="M787" s="10"/>
      <c r="N787" s="10"/>
      <c r="O787" s="7"/>
      <c r="P787" s="7"/>
      <c r="Q787" s="7"/>
      <c r="AB787" s="7"/>
    </row>
    <row r="788" spans="1:28" ht="13" x14ac:dyDescent="0.15">
      <c r="A788" s="7">
        <f t="shared" si="4"/>
        <v>6</v>
      </c>
      <c r="B788" s="7"/>
      <c r="C788" s="7"/>
      <c r="D788" s="7"/>
      <c r="E788" s="7"/>
      <c r="F788" s="9"/>
      <c r="H788" s="10"/>
      <c r="I788" s="10"/>
      <c r="J788" s="10"/>
      <c r="K788" s="10"/>
      <c r="L788" s="10"/>
      <c r="M788" s="10"/>
      <c r="N788" s="10"/>
      <c r="O788" s="7"/>
      <c r="P788" s="7"/>
      <c r="Q788" s="7"/>
      <c r="AB788" s="7"/>
    </row>
    <row r="789" spans="1:28" ht="13" x14ac:dyDescent="0.15">
      <c r="A789" s="7">
        <f t="shared" si="4"/>
        <v>6</v>
      </c>
      <c r="B789" s="7"/>
      <c r="C789" s="7"/>
      <c r="D789" s="7"/>
      <c r="E789" s="7"/>
      <c r="F789" s="9"/>
      <c r="H789" s="10"/>
      <c r="I789" s="10"/>
      <c r="J789" s="10"/>
      <c r="K789" s="10"/>
      <c r="L789" s="10"/>
      <c r="M789" s="10"/>
      <c r="N789" s="10"/>
      <c r="O789" s="7"/>
      <c r="P789" s="7"/>
      <c r="Q789" s="7"/>
      <c r="AB789" s="7"/>
    </row>
    <row r="790" spans="1:28" ht="13" x14ac:dyDescent="0.15">
      <c r="A790" s="7">
        <f t="shared" si="4"/>
        <v>6</v>
      </c>
      <c r="B790" s="7"/>
      <c r="C790" s="7"/>
      <c r="D790" s="7"/>
      <c r="E790" s="7"/>
      <c r="F790" s="9"/>
      <c r="H790" s="10"/>
      <c r="I790" s="10"/>
      <c r="J790" s="10"/>
      <c r="K790" s="10"/>
      <c r="L790" s="10"/>
      <c r="M790" s="10"/>
      <c r="N790" s="10"/>
      <c r="O790" s="7"/>
      <c r="P790" s="7"/>
      <c r="Q790" s="7"/>
      <c r="AB790" s="7"/>
    </row>
    <row r="791" spans="1:28" ht="13" x14ac:dyDescent="0.15">
      <c r="A791" s="7">
        <f t="shared" si="4"/>
        <v>6</v>
      </c>
      <c r="B791" s="7"/>
      <c r="C791" s="7"/>
      <c r="D791" s="7"/>
      <c r="E791" s="7"/>
      <c r="F791" s="9"/>
      <c r="H791" s="10"/>
      <c r="I791" s="10"/>
      <c r="J791" s="10"/>
      <c r="K791" s="10"/>
      <c r="L791" s="10"/>
      <c r="M791" s="10"/>
      <c r="N791" s="10"/>
      <c r="O791" s="7"/>
      <c r="P791" s="7"/>
      <c r="Q791" s="7"/>
      <c r="AB791" s="7"/>
    </row>
    <row r="792" spans="1:28" ht="13" x14ac:dyDescent="0.15">
      <c r="A792" s="7">
        <f t="shared" si="4"/>
        <v>6</v>
      </c>
      <c r="B792" s="7"/>
      <c r="C792" s="7"/>
      <c r="D792" s="7"/>
      <c r="E792" s="7"/>
      <c r="F792" s="9"/>
      <c r="H792" s="10"/>
      <c r="I792" s="10"/>
      <c r="J792" s="10"/>
      <c r="K792" s="10"/>
      <c r="L792" s="10"/>
      <c r="M792" s="10"/>
      <c r="N792" s="10"/>
      <c r="O792" s="7"/>
      <c r="P792" s="7"/>
      <c r="Q792" s="7"/>
      <c r="AB792" s="7"/>
    </row>
    <row r="793" spans="1:28" ht="13" x14ac:dyDescent="0.15">
      <c r="A793" s="7">
        <f t="shared" si="4"/>
        <v>6</v>
      </c>
      <c r="B793" s="7"/>
      <c r="C793" s="7"/>
      <c r="D793" s="7"/>
      <c r="E793" s="7"/>
      <c r="F793" s="9"/>
      <c r="H793" s="10"/>
      <c r="I793" s="10"/>
      <c r="J793" s="10"/>
      <c r="K793" s="10"/>
      <c r="L793" s="10"/>
      <c r="M793" s="10"/>
      <c r="N793" s="10"/>
      <c r="O793" s="7"/>
      <c r="P793" s="7"/>
      <c r="Q793" s="7"/>
      <c r="AB793" s="7"/>
    </row>
    <row r="794" spans="1:28" ht="13" x14ac:dyDescent="0.15">
      <c r="A794" s="7">
        <f t="shared" si="4"/>
        <v>6</v>
      </c>
      <c r="B794" s="7"/>
      <c r="C794" s="7"/>
      <c r="D794" s="7"/>
      <c r="E794" s="7"/>
      <c r="F794" s="9"/>
      <c r="H794" s="10"/>
      <c r="I794" s="10"/>
      <c r="J794" s="10"/>
      <c r="K794" s="10"/>
      <c r="L794" s="10"/>
      <c r="M794" s="10"/>
      <c r="N794" s="10"/>
      <c r="O794" s="7"/>
      <c r="P794" s="7"/>
      <c r="Q794" s="7"/>
      <c r="AB794" s="7"/>
    </row>
    <row r="795" spans="1:28" ht="13" x14ac:dyDescent="0.15">
      <c r="A795" s="7">
        <f t="shared" si="4"/>
        <v>6</v>
      </c>
      <c r="B795" s="7"/>
      <c r="C795" s="7"/>
      <c r="D795" s="7"/>
      <c r="E795" s="7"/>
      <c r="F795" s="9"/>
      <c r="H795" s="10"/>
      <c r="I795" s="10"/>
      <c r="J795" s="10"/>
      <c r="K795" s="10"/>
      <c r="L795" s="10"/>
      <c r="M795" s="10"/>
      <c r="N795" s="10"/>
      <c r="O795" s="7"/>
      <c r="P795" s="7"/>
      <c r="Q795" s="7"/>
      <c r="AB795" s="7"/>
    </row>
    <row r="796" spans="1:28" ht="13" x14ac:dyDescent="0.15">
      <c r="A796" s="7">
        <f t="shared" si="4"/>
        <v>6</v>
      </c>
      <c r="B796" s="7"/>
      <c r="C796" s="7"/>
      <c r="D796" s="7"/>
      <c r="E796" s="7"/>
      <c r="F796" s="9"/>
      <c r="H796" s="10"/>
      <c r="I796" s="10"/>
      <c r="J796" s="10"/>
      <c r="K796" s="10"/>
      <c r="L796" s="10"/>
      <c r="M796" s="10"/>
      <c r="N796" s="10"/>
      <c r="O796" s="7"/>
      <c r="P796" s="7"/>
      <c r="Q796" s="7"/>
      <c r="AB796" s="7"/>
    </row>
    <row r="797" spans="1:28" ht="13" x14ac:dyDescent="0.15">
      <c r="A797" s="7">
        <f t="shared" si="4"/>
        <v>6</v>
      </c>
      <c r="B797" s="7"/>
      <c r="C797" s="7"/>
      <c r="D797" s="7"/>
      <c r="E797" s="7"/>
      <c r="F797" s="9"/>
      <c r="H797" s="10"/>
      <c r="I797" s="10"/>
      <c r="J797" s="10"/>
      <c r="K797" s="10"/>
      <c r="L797" s="10"/>
      <c r="M797" s="10"/>
      <c r="N797" s="10"/>
      <c r="O797" s="7"/>
      <c r="P797" s="7"/>
      <c r="Q797" s="7"/>
      <c r="AB797" s="7"/>
    </row>
    <row r="798" spans="1:28" ht="13" x14ac:dyDescent="0.15">
      <c r="A798" s="7">
        <f t="shared" si="4"/>
        <v>6</v>
      </c>
      <c r="B798" s="7"/>
      <c r="C798" s="7"/>
      <c r="D798" s="7"/>
      <c r="E798" s="7"/>
      <c r="F798" s="9"/>
      <c r="H798" s="10"/>
      <c r="I798" s="10"/>
      <c r="J798" s="10"/>
      <c r="K798" s="10"/>
      <c r="L798" s="10"/>
      <c r="M798" s="10"/>
      <c r="N798" s="10"/>
      <c r="O798" s="7"/>
      <c r="P798" s="7"/>
      <c r="Q798" s="7"/>
      <c r="AB798" s="7"/>
    </row>
    <row r="799" spans="1:28" ht="13" x14ac:dyDescent="0.15">
      <c r="A799" s="7">
        <f t="shared" si="4"/>
        <v>6</v>
      </c>
      <c r="B799" s="7"/>
      <c r="C799" s="7"/>
      <c r="D799" s="7"/>
      <c r="E799" s="7"/>
      <c r="F799" s="9"/>
      <c r="H799" s="10"/>
      <c r="I799" s="10"/>
      <c r="J799" s="10"/>
      <c r="K799" s="10"/>
      <c r="L799" s="10"/>
      <c r="M799" s="10"/>
      <c r="N799" s="10"/>
      <c r="O799" s="7"/>
      <c r="P799" s="7"/>
      <c r="Q799" s="7"/>
      <c r="AB799" s="7"/>
    </row>
    <row r="800" spans="1:28" ht="13" x14ac:dyDescent="0.15">
      <c r="A800" s="7">
        <f t="shared" si="4"/>
        <v>6</v>
      </c>
      <c r="B800" s="7"/>
      <c r="C800" s="7"/>
      <c r="D800" s="7"/>
      <c r="E800" s="7"/>
      <c r="F800" s="9"/>
      <c r="H800" s="10"/>
      <c r="I800" s="10"/>
      <c r="J800" s="10"/>
      <c r="K800" s="10"/>
      <c r="L800" s="10"/>
      <c r="M800" s="10"/>
      <c r="N800" s="10"/>
      <c r="O800" s="7"/>
      <c r="P800" s="7"/>
      <c r="Q800" s="7"/>
      <c r="AB800" s="7"/>
    </row>
    <row r="801" spans="1:28" ht="13" x14ac:dyDescent="0.15">
      <c r="A801" s="7">
        <f t="shared" si="4"/>
        <v>6</v>
      </c>
      <c r="B801" s="7"/>
      <c r="C801" s="7"/>
      <c r="D801" s="7"/>
      <c r="E801" s="7"/>
      <c r="F801" s="9"/>
      <c r="H801" s="10"/>
      <c r="I801" s="10"/>
      <c r="J801" s="10"/>
      <c r="K801" s="10"/>
      <c r="L801" s="10"/>
      <c r="M801" s="10"/>
      <c r="N801" s="10"/>
      <c r="O801" s="7"/>
      <c r="P801" s="7"/>
      <c r="Q801" s="7"/>
      <c r="AB801" s="7"/>
    </row>
    <row r="802" spans="1:28" ht="13" x14ac:dyDescent="0.15">
      <c r="A802" s="7">
        <f t="shared" si="4"/>
        <v>6</v>
      </c>
      <c r="B802" s="7"/>
      <c r="C802" s="7"/>
      <c r="D802" s="7"/>
      <c r="E802" s="7"/>
      <c r="F802" s="9"/>
      <c r="H802" s="10"/>
      <c r="I802" s="10"/>
      <c r="J802" s="10"/>
      <c r="K802" s="10"/>
      <c r="L802" s="10"/>
      <c r="M802" s="10"/>
      <c r="N802" s="10"/>
      <c r="O802" s="7"/>
      <c r="P802" s="7"/>
      <c r="Q802" s="7"/>
      <c r="AB802" s="7"/>
    </row>
    <row r="803" spans="1:28" ht="13" x14ac:dyDescent="0.15">
      <c r="A803" s="7">
        <f t="shared" si="4"/>
        <v>6</v>
      </c>
      <c r="B803" s="7"/>
      <c r="C803" s="7"/>
      <c r="D803" s="7"/>
      <c r="E803" s="7"/>
      <c r="F803" s="9"/>
      <c r="H803" s="10"/>
      <c r="I803" s="10"/>
      <c r="J803" s="10"/>
      <c r="K803" s="10"/>
      <c r="L803" s="10"/>
      <c r="M803" s="10"/>
      <c r="N803" s="10"/>
      <c r="O803" s="7"/>
      <c r="P803" s="7"/>
      <c r="Q803" s="7"/>
      <c r="AB803" s="7"/>
    </row>
    <row r="804" spans="1:28" ht="13" x14ac:dyDescent="0.15">
      <c r="A804" s="7">
        <f t="shared" si="4"/>
        <v>6</v>
      </c>
      <c r="B804" s="7"/>
      <c r="C804" s="7"/>
      <c r="D804" s="7"/>
      <c r="E804" s="7"/>
      <c r="F804" s="9"/>
      <c r="H804" s="10"/>
      <c r="I804" s="10"/>
      <c r="J804" s="10"/>
      <c r="K804" s="10"/>
      <c r="L804" s="10"/>
      <c r="M804" s="10"/>
      <c r="N804" s="10"/>
      <c r="O804" s="7"/>
      <c r="P804" s="7"/>
      <c r="Q804" s="7"/>
      <c r="AB804" s="7"/>
    </row>
    <row r="805" spans="1:28" ht="13" x14ac:dyDescent="0.15">
      <c r="A805" s="7">
        <f t="shared" si="4"/>
        <v>6</v>
      </c>
      <c r="B805" s="7"/>
      <c r="C805" s="7"/>
      <c r="D805" s="7"/>
      <c r="E805" s="7"/>
      <c r="F805" s="9"/>
      <c r="H805" s="10"/>
      <c r="I805" s="10"/>
      <c r="J805" s="10"/>
      <c r="K805" s="10"/>
      <c r="L805" s="10"/>
      <c r="M805" s="10"/>
      <c r="N805" s="10"/>
      <c r="O805" s="7"/>
      <c r="P805" s="7"/>
      <c r="Q805" s="7"/>
      <c r="AB805" s="7"/>
    </row>
    <row r="806" spans="1:28" ht="13" x14ac:dyDescent="0.15">
      <c r="A806" s="7">
        <f t="shared" si="4"/>
        <v>6</v>
      </c>
      <c r="B806" s="7"/>
      <c r="C806" s="7"/>
      <c r="D806" s="7"/>
      <c r="E806" s="7"/>
      <c r="F806" s="9"/>
      <c r="H806" s="10"/>
      <c r="I806" s="10"/>
      <c r="J806" s="10"/>
      <c r="K806" s="10"/>
      <c r="L806" s="10"/>
      <c r="M806" s="10"/>
      <c r="N806" s="10"/>
      <c r="O806" s="7"/>
      <c r="P806" s="7"/>
      <c r="Q806" s="7"/>
      <c r="AB806" s="7"/>
    </row>
    <row r="807" spans="1:28" ht="13" x14ac:dyDescent="0.15">
      <c r="A807" s="7">
        <f t="shared" si="4"/>
        <v>6</v>
      </c>
      <c r="B807" s="7"/>
      <c r="C807" s="7"/>
      <c r="D807" s="7"/>
      <c r="E807" s="7"/>
      <c r="F807" s="9"/>
      <c r="H807" s="10"/>
      <c r="I807" s="10"/>
      <c r="J807" s="10"/>
      <c r="K807" s="10"/>
      <c r="L807" s="10"/>
      <c r="M807" s="10"/>
      <c r="N807" s="10"/>
      <c r="O807" s="7"/>
      <c r="P807" s="7"/>
      <c r="Q807" s="7"/>
      <c r="AB807" s="7"/>
    </row>
    <row r="808" spans="1:28" ht="13" x14ac:dyDescent="0.15">
      <c r="A808" s="7">
        <f t="shared" si="4"/>
        <v>6</v>
      </c>
      <c r="B808" s="7"/>
      <c r="C808" s="7"/>
      <c r="D808" s="7"/>
      <c r="E808" s="7"/>
      <c r="F808" s="9"/>
      <c r="H808" s="10"/>
      <c r="I808" s="10"/>
      <c r="J808" s="10"/>
      <c r="K808" s="10"/>
      <c r="L808" s="10"/>
      <c r="M808" s="10"/>
      <c r="N808" s="10"/>
      <c r="O808" s="7"/>
      <c r="P808" s="7"/>
      <c r="Q808" s="7"/>
      <c r="AB808" s="7"/>
    </row>
    <row r="809" spans="1:28" ht="13" x14ac:dyDescent="0.15">
      <c r="A809" s="7">
        <f t="shared" si="4"/>
        <v>6</v>
      </c>
      <c r="B809" s="7"/>
      <c r="C809" s="7"/>
      <c r="D809" s="7"/>
      <c r="E809" s="7"/>
      <c r="F809" s="9"/>
      <c r="H809" s="10"/>
      <c r="I809" s="10"/>
      <c r="J809" s="10"/>
      <c r="K809" s="10"/>
      <c r="L809" s="10"/>
      <c r="M809" s="10"/>
      <c r="N809" s="10"/>
      <c r="O809" s="7"/>
      <c r="P809" s="7"/>
      <c r="Q809" s="7"/>
      <c r="AB809" s="7"/>
    </row>
    <row r="810" spans="1:28" ht="13" x14ac:dyDescent="0.15">
      <c r="A810" s="7">
        <f t="shared" si="4"/>
        <v>6</v>
      </c>
      <c r="B810" s="7"/>
      <c r="C810" s="7"/>
      <c r="D810" s="7"/>
      <c r="E810" s="7"/>
      <c r="F810" s="9"/>
      <c r="H810" s="10"/>
      <c r="I810" s="10"/>
      <c r="J810" s="10"/>
      <c r="K810" s="10"/>
      <c r="L810" s="10"/>
      <c r="M810" s="10"/>
      <c r="N810" s="10"/>
      <c r="O810" s="7"/>
      <c r="P810" s="7"/>
      <c r="Q810" s="7"/>
      <c r="AB810" s="7"/>
    </row>
    <row r="811" spans="1:28" ht="13" x14ac:dyDescent="0.15">
      <c r="A811" s="7">
        <f t="shared" si="4"/>
        <v>6</v>
      </c>
      <c r="B811" s="7"/>
      <c r="C811" s="7"/>
      <c r="D811" s="7"/>
      <c r="E811" s="7"/>
      <c r="F811" s="9"/>
      <c r="H811" s="10"/>
      <c r="I811" s="10"/>
      <c r="J811" s="10"/>
      <c r="K811" s="10"/>
      <c r="L811" s="10"/>
      <c r="M811" s="10"/>
      <c r="N811" s="10"/>
      <c r="O811" s="7"/>
      <c r="P811" s="7"/>
      <c r="Q811" s="7"/>
      <c r="AB811" s="7"/>
    </row>
    <row r="812" spans="1:28" ht="13" x14ac:dyDescent="0.15">
      <c r="A812" s="7">
        <f t="shared" si="4"/>
        <v>6</v>
      </c>
      <c r="B812" s="7"/>
      <c r="C812" s="7"/>
      <c r="D812" s="7"/>
      <c r="E812" s="7"/>
      <c r="F812" s="9"/>
      <c r="H812" s="10"/>
      <c r="I812" s="10"/>
      <c r="J812" s="10"/>
      <c r="K812" s="10"/>
      <c r="L812" s="10"/>
      <c r="M812" s="10"/>
      <c r="N812" s="10"/>
      <c r="O812" s="7"/>
      <c r="P812" s="7"/>
      <c r="Q812" s="7"/>
      <c r="AB812" s="7"/>
    </row>
    <row r="813" spans="1:28" ht="13" x14ac:dyDescent="0.15">
      <c r="A813" s="7">
        <f t="shared" si="4"/>
        <v>6</v>
      </c>
      <c r="B813" s="7"/>
      <c r="C813" s="7"/>
      <c r="D813" s="7"/>
      <c r="E813" s="7"/>
      <c r="F813" s="9"/>
      <c r="H813" s="10"/>
      <c r="I813" s="10"/>
      <c r="J813" s="10"/>
      <c r="K813" s="10"/>
      <c r="L813" s="10"/>
      <c r="M813" s="10"/>
      <c r="N813" s="10"/>
      <c r="O813" s="7"/>
      <c r="P813" s="7"/>
      <c r="Q813" s="7"/>
      <c r="AB813" s="7"/>
    </row>
    <row r="814" spans="1:28" ht="13" x14ac:dyDescent="0.15">
      <c r="A814" s="7">
        <f t="shared" si="4"/>
        <v>6</v>
      </c>
      <c r="B814" s="7"/>
      <c r="C814" s="7"/>
      <c r="D814" s="7"/>
      <c r="E814" s="7"/>
      <c r="F814" s="9"/>
      <c r="H814" s="10"/>
      <c r="I814" s="10"/>
      <c r="J814" s="10"/>
      <c r="K814" s="10"/>
      <c r="L814" s="10"/>
      <c r="M814" s="10"/>
      <c r="N814" s="10"/>
      <c r="O814" s="7"/>
      <c r="P814" s="7"/>
      <c r="Q814" s="7"/>
      <c r="AB814" s="7"/>
    </row>
    <row r="815" spans="1:28" ht="13" x14ac:dyDescent="0.15">
      <c r="A815" s="7">
        <f t="shared" si="4"/>
        <v>6</v>
      </c>
      <c r="B815" s="7"/>
      <c r="C815" s="7"/>
      <c r="D815" s="7"/>
      <c r="E815" s="7"/>
      <c r="F815" s="9"/>
      <c r="H815" s="10"/>
      <c r="I815" s="10"/>
      <c r="J815" s="10"/>
      <c r="K815" s="10"/>
      <c r="L815" s="10"/>
      <c r="M815" s="10"/>
      <c r="N815" s="10"/>
      <c r="O815" s="7"/>
      <c r="P815" s="7"/>
      <c r="Q815" s="7"/>
      <c r="AB815" s="7"/>
    </row>
    <row r="816" spans="1:28" ht="13" x14ac:dyDescent="0.15">
      <c r="A816" s="7">
        <f t="shared" si="4"/>
        <v>6</v>
      </c>
      <c r="B816" s="7"/>
      <c r="C816" s="7"/>
      <c r="D816" s="7"/>
      <c r="E816" s="7"/>
      <c r="F816" s="9"/>
      <c r="H816" s="10"/>
      <c r="I816" s="10"/>
      <c r="J816" s="10"/>
      <c r="K816" s="10"/>
      <c r="L816" s="10"/>
      <c r="M816" s="10"/>
      <c r="N816" s="10"/>
      <c r="O816" s="7"/>
      <c r="P816" s="7"/>
      <c r="Q816" s="7"/>
      <c r="AB816" s="7"/>
    </row>
    <row r="817" spans="1:28" ht="13" x14ac:dyDescent="0.15">
      <c r="A817" s="7">
        <f t="shared" si="4"/>
        <v>6</v>
      </c>
      <c r="B817" s="7"/>
      <c r="C817" s="7"/>
      <c r="D817" s="7"/>
      <c r="E817" s="7"/>
      <c r="F817" s="9"/>
      <c r="H817" s="10"/>
      <c r="I817" s="10"/>
      <c r="J817" s="10"/>
      <c r="K817" s="10"/>
      <c r="L817" s="10"/>
      <c r="M817" s="10"/>
      <c r="N817" s="10"/>
      <c r="O817" s="7"/>
      <c r="P817" s="7"/>
      <c r="Q817" s="7"/>
      <c r="AB817" s="7"/>
    </row>
    <row r="818" spans="1:28" ht="13" x14ac:dyDescent="0.15">
      <c r="A818" s="7">
        <f t="shared" si="4"/>
        <v>6</v>
      </c>
      <c r="B818" s="7"/>
      <c r="C818" s="7"/>
      <c r="D818" s="7"/>
      <c r="E818" s="7"/>
      <c r="F818" s="9"/>
      <c r="H818" s="10"/>
      <c r="I818" s="10"/>
      <c r="J818" s="10"/>
      <c r="K818" s="10"/>
      <c r="L818" s="10"/>
      <c r="M818" s="10"/>
      <c r="N818" s="10"/>
      <c r="O818" s="7"/>
      <c r="P818" s="7"/>
      <c r="Q818" s="7"/>
      <c r="AB818" s="7"/>
    </row>
    <row r="819" spans="1:28" ht="13" x14ac:dyDescent="0.15">
      <c r="A819" s="7">
        <f t="shared" si="4"/>
        <v>6</v>
      </c>
      <c r="B819" s="7"/>
      <c r="C819" s="7"/>
      <c r="D819" s="7"/>
      <c r="E819" s="7"/>
      <c r="F819" s="9"/>
      <c r="H819" s="10"/>
      <c r="I819" s="10"/>
      <c r="J819" s="10"/>
      <c r="K819" s="10"/>
      <c r="L819" s="10"/>
      <c r="M819" s="10"/>
      <c r="N819" s="10"/>
      <c r="O819" s="7"/>
      <c r="P819" s="7"/>
      <c r="Q819" s="7"/>
      <c r="AB819" s="7"/>
    </row>
    <row r="820" spans="1:28" ht="13" x14ac:dyDescent="0.15">
      <c r="A820" s="7">
        <f t="shared" si="4"/>
        <v>6</v>
      </c>
      <c r="B820" s="7"/>
      <c r="C820" s="7"/>
      <c r="D820" s="7"/>
      <c r="E820" s="7"/>
      <c r="F820" s="9"/>
      <c r="H820" s="10"/>
      <c r="I820" s="10"/>
      <c r="J820" s="10"/>
      <c r="K820" s="10"/>
      <c r="L820" s="10"/>
      <c r="M820" s="10"/>
      <c r="N820" s="10"/>
      <c r="O820" s="7"/>
      <c r="P820" s="7"/>
      <c r="Q820" s="7"/>
      <c r="AB820" s="7"/>
    </row>
    <row r="821" spans="1:28" ht="13" x14ac:dyDescent="0.15">
      <c r="A821" s="7">
        <f t="shared" si="4"/>
        <v>6</v>
      </c>
      <c r="B821" s="7"/>
      <c r="C821" s="7"/>
      <c r="D821" s="7"/>
      <c r="E821" s="7"/>
      <c r="F821" s="9"/>
      <c r="H821" s="10"/>
      <c r="I821" s="10"/>
      <c r="J821" s="10"/>
      <c r="K821" s="10"/>
      <c r="L821" s="10"/>
      <c r="M821" s="10"/>
      <c r="N821" s="10"/>
      <c r="O821" s="7"/>
      <c r="P821" s="7"/>
      <c r="Q821" s="7"/>
      <c r="AB821" s="7"/>
    </row>
    <row r="822" spans="1:28" ht="13" x14ac:dyDescent="0.15">
      <c r="A822" s="7">
        <f t="shared" si="4"/>
        <v>6</v>
      </c>
      <c r="B822" s="7"/>
      <c r="C822" s="7"/>
      <c r="D822" s="7"/>
      <c r="E822" s="7"/>
      <c r="F822" s="9"/>
      <c r="H822" s="10"/>
      <c r="I822" s="10"/>
      <c r="J822" s="10"/>
      <c r="K822" s="10"/>
      <c r="L822" s="10"/>
      <c r="M822" s="10"/>
      <c r="N822" s="10"/>
      <c r="O822" s="7"/>
      <c r="P822" s="7"/>
      <c r="Q822" s="7"/>
      <c r="AB822" s="7"/>
    </row>
    <row r="823" spans="1:28" ht="13" x14ac:dyDescent="0.15">
      <c r="A823" s="7">
        <f t="shared" si="4"/>
        <v>6</v>
      </c>
      <c r="B823" s="7"/>
      <c r="C823" s="7"/>
      <c r="D823" s="7"/>
      <c r="E823" s="7"/>
      <c r="F823" s="9"/>
      <c r="H823" s="10"/>
      <c r="I823" s="10"/>
      <c r="J823" s="10"/>
      <c r="K823" s="10"/>
      <c r="L823" s="10"/>
      <c r="M823" s="10"/>
      <c r="N823" s="10"/>
      <c r="O823" s="7"/>
      <c r="P823" s="7"/>
      <c r="Q823" s="7"/>
      <c r="AB823" s="7"/>
    </row>
    <row r="824" spans="1:28" ht="13" x14ac:dyDescent="0.15">
      <c r="A824" s="7">
        <f t="shared" si="4"/>
        <v>6</v>
      </c>
      <c r="B824" s="7"/>
      <c r="C824" s="7"/>
      <c r="D824" s="7"/>
      <c r="E824" s="7"/>
      <c r="F824" s="9"/>
      <c r="H824" s="10"/>
      <c r="I824" s="10"/>
      <c r="J824" s="10"/>
      <c r="K824" s="10"/>
      <c r="L824" s="10"/>
      <c r="M824" s="10"/>
      <c r="N824" s="10"/>
      <c r="O824" s="7"/>
      <c r="P824" s="7"/>
      <c r="Q824" s="7"/>
      <c r="AB824" s="7"/>
    </row>
    <row r="825" spans="1:28" ht="13" x14ac:dyDescent="0.15">
      <c r="A825" s="7">
        <f t="shared" si="4"/>
        <v>6</v>
      </c>
      <c r="B825" s="7"/>
      <c r="C825" s="7"/>
      <c r="D825" s="7"/>
      <c r="E825" s="7"/>
      <c r="F825" s="9"/>
      <c r="H825" s="10"/>
      <c r="I825" s="10"/>
      <c r="J825" s="10"/>
      <c r="K825" s="10"/>
      <c r="L825" s="10"/>
      <c r="M825" s="10"/>
      <c r="N825" s="10"/>
      <c r="O825" s="7"/>
      <c r="P825" s="7"/>
      <c r="Q825" s="7"/>
      <c r="AB825" s="7"/>
    </row>
    <row r="826" spans="1:28" ht="13" x14ac:dyDescent="0.15">
      <c r="A826" s="7">
        <f t="shared" si="4"/>
        <v>6</v>
      </c>
      <c r="B826" s="7"/>
      <c r="C826" s="7"/>
      <c r="D826" s="7"/>
      <c r="E826" s="7"/>
      <c r="F826" s="9"/>
      <c r="H826" s="10"/>
      <c r="I826" s="10"/>
      <c r="J826" s="10"/>
      <c r="K826" s="10"/>
      <c r="L826" s="10"/>
      <c r="M826" s="10"/>
      <c r="N826" s="10"/>
      <c r="O826" s="7"/>
      <c r="P826" s="7"/>
      <c r="Q826" s="7"/>
      <c r="AB826" s="7"/>
    </row>
    <row r="827" spans="1:28" ht="13" x14ac:dyDescent="0.15">
      <c r="A827" s="7">
        <f t="shared" si="4"/>
        <v>6</v>
      </c>
      <c r="B827" s="7"/>
      <c r="C827" s="7"/>
      <c r="D827" s="7"/>
      <c r="E827" s="7"/>
      <c r="F827" s="9"/>
      <c r="H827" s="10"/>
      <c r="I827" s="10"/>
      <c r="J827" s="10"/>
      <c r="K827" s="10"/>
      <c r="L827" s="10"/>
      <c r="M827" s="10"/>
      <c r="N827" s="10"/>
      <c r="O827" s="7"/>
      <c r="P827" s="7"/>
      <c r="Q827" s="7"/>
      <c r="AB827" s="7"/>
    </row>
    <row r="828" spans="1:28" ht="13" x14ac:dyDescent="0.15">
      <c r="A828" s="7">
        <f t="shared" si="4"/>
        <v>6</v>
      </c>
      <c r="B828" s="7"/>
      <c r="C828" s="7"/>
      <c r="D828" s="7"/>
      <c r="E828" s="7"/>
      <c r="F828" s="9"/>
      <c r="H828" s="10"/>
      <c r="I828" s="10"/>
      <c r="J828" s="10"/>
      <c r="K828" s="10"/>
      <c r="L828" s="10"/>
      <c r="M828" s="10"/>
      <c r="N828" s="10"/>
      <c r="O828" s="7"/>
      <c r="P828" s="7"/>
      <c r="Q828" s="7"/>
      <c r="AB828" s="7"/>
    </row>
    <row r="829" spans="1:28" ht="13" x14ac:dyDescent="0.15">
      <c r="A829" s="7">
        <f t="shared" si="4"/>
        <v>6</v>
      </c>
      <c r="B829" s="7"/>
      <c r="C829" s="7"/>
      <c r="D829" s="7"/>
      <c r="E829" s="7"/>
      <c r="F829" s="9"/>
      <c r="H829" s="10"/>
      <c r="I829" s="10"/>
      <c r="J829" s="10"/>
      <c r="K829" s="10"/>
      <c r="L829" s="10"/>
      <c r="M829" s="10"/>
      <c r="N829" s="10"/>
      <c r="O829" s="7"/>
      <c r="P829" s="7"/>
      <c r="Q829" s="7"/>
      <c r="AB829" s="7"/>
    </row>
    <row r="830" spans="1:28" ht="13" x14ac:dyDescent="0.15">
      <c r="A830" s="7">
        <f t="shared" si="4"/>
        <v>6</v>
      </c>
      <c r="B830" s="7"/>
      <c r="C830" s="7"/>
      <c r="D830" s="7"/>
      <c r="E830" s="7"/>
      <c r="F830" s="9"/>
      <c r="H830" s="10"/>
      <c r="I830" s="10"/>
      <c r="J830" s="10"/>
      <c r="K830" s="10"/>
      <c r="L830" s="10"/>
      <c r="M830" s="10"/>
      <c r="N830" s="10"/>
      <c r="O830" s="7"/>
      <c r="P830" s="7"/>
      <c r="Q830" s="7"/>
      <c r="AB830" s="7"/>
    </row>
    <row r="831" spans="1:28" ht="13" x14ac:dyDescent="0.15">
      <c r="A831" s="7">
        <f t="shared" si="4"/>
        <v>6</v>
      </c>
      <c r="B831" s="7"/>
      <c r="C831" s="7"/>
      <c r="D831" s="7"/>
      <c r="E831" s="7"/>
      <c r="F831" s="9"/>
      <c r="H831" s="10"/>
      <c r="I831" s="10"/>
      <c r="J831" s="10"/>
      <c r="K831" s="10"/>
      <c r="L831" s="10"/>
      <c r="M831" s="10"/>
      <c r="N831" s="10"/>
      <c r="O831" s="7"/>
      <c r="P831" s="7"/>
      <c r="Q831" s="7"/>
      <c r="AB831" s="7"/>
    </row>
    <row r="832" spans="1:28" ht="13" x14ac:dyDescent="0.15">
      <c r="A832" s="7">
        <f t="shared" si="4"/>
        <v>6</v>
      </c>
      <c r="B832" s="7"/>
      <c r="C832" s="7"/>
      <c r="D832" s="7"/>
      <c r="E832" s="7"/>
      <c r="F832" s="9"/>
      <c r="H832" s="10"/>
      <c r="I832" s="10"/>
      <c r="J832" s="10"/>
      <c r="K832" s="10"/>
      <c r="L832" s="10"/>
      <c r="M832" s="10"/>
      <c r="N832" s="10"/>
      <c r="O832" s="7"/>
      <c r="P832" s="7"/>
      <c r="Q832" s="7"/>
      <c r="AB832" s="7"/>
    </row>
    <row r="833" spans="1:28" ht="13" x14ac:dyDescent="0.15">
      <c r="A833" s="7">
        <f t="shared" si="4"/>
        <v>6</v>
      </c>
      <c r="B833" s="7"/>
      <c r="C833" s="7"/>
      <c r="D833" s="7"/>
      <c r="E833" s="7"/>
      <c r="F833" s="9"/>
      <c r="H833" s="10"/>
      <c r="I833" s="10"/>
      <c r="J833" s="10"/>
      <c r="K833" s="10"/>
      <c r="L833" s="10"/>
      <c r="M833" s="10"/>
      <c r="N833" s="10"/>
      <c r="O833" s="7"/>
      <c r="P833" s="7"/>
      <c r="Q833" s="7"/>
      <c r="AB833" s="7"/>
    </row>
    <row r="834" spans="1:28" ht="13" x14ac:dyDescent="0.15">
      <c r="A834" s="7">
        <f t="shared" si="4"/>
        <v>6</v>
      </c>
      <c r="B834" s="7"/>
      <c r="C834" s="7"/>
      <c r="D834" s="7"/>
      <c r="E834" s="7"/>
      <c r="F834" s="9"/>
      <c r="H834" s="10"/>
      <c r="I834" s="10"/>
      <c r="J834" s="10"/>
      <c r="K834" s="10"/>
      <c r="L834" s="10"/>
      <c r="M834" s="10"/>
      <c r="N834" s="10"/>
      <c r="O834" s="7"/>
      <c r="P834" s="7"/>
      <c r="Q834" s="7"/>
      <c r="AB834" s="7"/>
    </row>
    <row r="835" spans="1:28" ht="13" x14ac:dyDescent="0.15">
      <c r="A835" s="7">
        <f t="shared" si="4"/>
        <v>6</v>
      </c>
      <c r="B835" s="7"/>
      <c r="C835" s="7"/>
      <c r="D835" s="7"/>
      <c r="E835" s="7"/>
      <c r="F835" s="9"/>
      <c r="H835" s="10"/>
      <c r="I835" s="10"/>
      <c r="J835" s="10"/>
      <c r="K835" s="10"/>
      <c r="L835" s="10"/>
      <c r="M835" s="10"/>
      <c r="N835" s="10"/>
      <c r="O835" s="7"/>
      <c r="P835" s="7"/>
      <c r="Q835" s="7"/>
      <c r="AB835" s="7"/>
    </row>
    <row r="836" spans="1:28" ht="13" x14ac:dyDescent="0.15">
      <c r="A836" s="7">
        <f t="shared" si="4"/>
        <v>6</v>
      </c>
      <c r="B836" s="7"/>
      <c r="C836" s="7"/>
      <c r="D836" s="7"/>
      <c r="E836" s="7"/>
      <c r="F836" s="9"/>
      <c r="H836" s="10"/>
      <c r="I836" s="10"/>
      <c r="J836" s="10"/>
      <c r="K836" s="10"/>
      <c r="L836" s="10"/>
      <c r="M836" s="10"/>
      <c r="N836" s="10"/>
      <c r="O836" s="7"/>
      <c r="P836" s="7"/>
      <c r="Q836" s="7"/>
      <c r="AB836" s="7"/>
    </row>
    <row r="837" spans="1:28" ht="13" x14ac:dyDescent="0.15">
      <c r="A837" s="7">
        <f t="shared" si="4"/>
        <v>6</v>
      </c>
      <c r="B837" s="7"/>
      <c r="C837" s="7"/>
      <c r="D837" s="7"/>
      <c r="E837" s="7"/>
      <c r="F837" s="9"/>
      <c r="H837" s="10"/>
      <c r="I837" s="10"/>
      <c r="J837" s="10"/>
      <c r="K837" s="10"/>
      <c r="L837" s="10"/>
      <c r="M837" s="10"/>
      <c r="N837" s="10"/>
      <c r="O837" s="7"/>
      <c r="P837" s="7"/>
      <c r="Q837" s="7"/>
      <c r="AB837" s="7"/>
    </row>
    <row r="838" spans="1:28" ht="13" x14ac:dyDescent="0.15">
      <c r="A838" s="7">
        <f t="shared" si="4"/>
        <v>6</v>
      </c>
      <c r="B838" s="7"/>
      <c r="C838" s="7"/>
      <c r="D838" s="7"/>
      <c r="E838" s="7"/>
      <c r="F838" s="9"/>
      <c r="H838" s="10"/>
      <c r="I838" s="10"/>
      <c r="J838" s="10"/>
      <c r="K838" s="10"/>
      <c r="L838" s="10"/>
      <c r="M838" s="10"/>
      <c r="N838" s="10"/>
      <c r="O838" s="7"/>
      <c r="P838" s="7"/>
      <c r="Q838" s="7"/>
      <c r="AB838" s="7"/>
    </row>
    <row r="839" spans="1:28" ht="13" x14ac:dyDescent="0.15">
      <c r="A839" s="7">
        <f t="shared" si="4"/>
        <v>6</v>
      </c>
      <c r="B839" s="7"/>
      <c r="C839" s="7"/>
      <c r="D839" s="7"/>
      <c r="E839" s="7"/>
      <c r="F839" s="9"/>
      <c r="H839" s="10"/>
      <c r="I839" s="10"/>
      <c r="J839" s="10"/>
      <c r="K839" s="10"/>
      <c r="L839" s="10"/>
      <c r="M839" s="10"/>
      <c r="N839" s="10"/>
      <c r="O839" s="7"/>
      <c r="P839" s="7"/>
      <c r="Q839" s="7"/>
      <c r="AB839" s="7"/>
    </row>
    <row r="840" spans="1:28" ht="13" x14ac:dyDescent="0.15">
      <c r="A840" s="7">
        <f t="shared" si="4"/>
        <v>6</v>
      </c>
      <c r="B840" s="7"/>
      <c r="C840" s="7"/>
      <c r="D840" s="7"/>
      <c r="E840" s="7"/>
      <c r="F840" s="9"/>
      <c r="H840" s="10"/>
      <c r="I840" s="10"/>
      <c r="J840" s="10"/>
      <c r="K840" s="10"/>
      <c r="L840" s="10"/>
      <c r="M840" s="10"/>
      <c r="N840" s="10"/>
      <c r="O840" s="7"/>
      <c r="P840" s="7"/>
      <c r="Q840" s="7"/>
      <c r="AB840" s="7"/>
    </row>
    <row r="841" spans="1:28" ht="13" x14ac:dyDescent="0.15">
      <c r="A841" s="7">
        <f t="shared" si="4"/>
        <v>6</v>
      </c>
      <c r="B841" s="7"/>
      <c r="C841" s="7"/>
      <c r="D841" s="7"/>
      <c r="E841" s="7"/>
      <c r="F841" s="9"/>
      <c r="H841" s="10"/>
      <c r="I841" s="10"/>
      <c r="J841" s="10"/>
      <c r="K841" s="10"/>
      <c r="L841" s="10"/>
      <c r="M841" s="10"/>
      <c r="N841" s="10"/>
      <c r="O841" s="7"/>
      <c r="P841" s="7"/>
      <c r="Q841" s="7"/>
      <c r="AB841" s="7"/>
    </row>
    <row r="842" spans="1:28" ht="13" x14ac:dyDescent="0.15">
      <c r="A842" s="7">
        <f t="shared" si="4"/>
        <v>6</v>
      </c>
      <c r="B842" s="7"/>
      <c r="C842" s="7"/>
      <c r="D842" s="7"/>
      <c r="E842" s="7"/>
      <c r="F842" s="9"/>
      <c r="H842" s="10"/>
      <c r="I842" s="10"/>
      <c r="J842" s="10"/>
      <c r="K842" s="10"/>
      <c r="L842" s="10"/>
      <c r="M842" s="10"/>
      <c r="N842" s="10"/>
      <c r="O842" s="7"/>
      <c r="P842" s="7"/>
      <c r="Q842" s="7"/>
      <c r="AB842" s="7"/>
    </row>
    <row r="843" spans="1:28" ht="13" x14ac:dyDescent="0.15">
      <c r="A843" s="7">
        <f t="shared" si="4"/>
        <v>6</v>
      </c>
      <c r="B843" s="7"/>
      <c r="C843" s="7"/>
      <c r="D843" s="7"/>
      <c r="E843" s="7"/>
      <c r="F843" s="9"/>
      <c r="H843" s="10"/>
      <c r="I843" s="10"/>
      <c r="J843" s="10"/>
      <c r="K843" s="10"/>
      <c r="L843" s="10"/>
      <c r="M843" s="10"/>
      <c r="N843" s="10"/>
      <c r="O843" s="7"/>
      <c r="P843" s="7"/>
      <c r="Q843" s="7"/>
      <c r="AB843" s="7"/>
    </row>
    <row r="844" spans="1:28" ht="13" x14ac:dyDescent="0.15">
      <c r="A844" s="7">
        <f t="shared" si="4"/>
        <v>6</v>
      </c>
      <c r="B844" s="7"/>
      <c r="C844" s="7"/>
      <c r="D844" s="7"/>
      <c r="E844" s="7"/>
      <c r="F844" s="9"/>
      <c r="H844" s="10"/>
      <c r="I844" s="10"/>
      <c r="J844" s="10"/>
      <c r="K844" s="10"/>
      <c r="L844" s="10"/>
      <c r="M844" s="10"/>
      <c r="N844" s="10"/>
      <c r="O844" s="7"/>
      <c r="P844" s="7"/>
      <c r="Q844" s="7"/>
      <c r="AB844" s="7"/>
    </row>
    <row r="845" spans="1:28" ht="13" x14ac:dyDescent="0.15">
      <c r="A845" s="7">
        <f t="shared" si="4"/>
        <v>6</v>
      </c>
      <c r="B845" s="7"/>
      <c r="C845" s="7"/>
      <c r="D845" s="7"/>
      <c r="E845" s="7"/>
      <c r="F845" s="9"/>
      <c r="H845" s="10"/>
      <c r="I845" s="10"/>
      <c r="J845" s="10"/>
      <c r="K845" s="10"/>
      <c r="L845" s="10"/>
      <c r="M845" s="10"/>
      <c r="N845" s="10"/>
      <c r="O845" s="7"/>
      <c r="P845" s="7"/>
      <c r="Q845" s="7"/>
      <c r="AB845" s="7"/>
    </row>
    <row r="846" spans="1:28" ht="13" x14ac:dyDescent="0.15">
      <c r="A846" s="7">
        <f t="shared" si="4"/>
        <v>6</v>
      </c>
      <c r="B846" s="7"/>
      <c r="C846" s="7"/>
      <c r="D846" s="7"/>
      <c r="E846" s="7"/>
      <c r="F846" s="9"/>
      <c r="H846" s="10"/>
      <c r="I846" s="10"/>
      <c r="J846" s="10"/>
      <c r="K846" s="10"/>
      <c r="L846" s="10"/>
      <c r="M846" s="10"/>
      <c r="N846" s="10"/>
      <c r="O846" s="7"/>
      <c r="P846" s="7"/>
      <c r="Q846" s="7"/>
      <c r="AB846" s="7"/>
    </row>
    <row r="847" spans="1:28" ht="13" x14ac:dyDescent="0.15">
      <c r="A847" s="7">
        <f t="shared" si="4"/>
        <v>6</v>
      </c>
      <c r="B847" s="7"/>
      <c r="C847" s="7"/>
      <c r="D847" s="7"/>
      <c r="E847" s="7"/>
      <c r="F847" s="9"/>
      <c r="H847" s="10"/>
      <c r="I847" s="10"/>
      <c r="J847" s="10"/>
      <c r="K847" s="10"/>
      <c r="L847" s="10"/>
      <c r="M847" s="10"/>
      <c r="N847" s="10"/>
      <c r="O847" s="7"/>
      <c r="P847" s="7"/>
      <c r="Q847" s="7"/>
      <c r="AB847" s="7"/>
    </row>
    <row r="848" spans="1:28" ht="13" x14ac:dyDescent="0.15">
      <c r="A848" s="7">
        <f t="shared" si="4"/>
        <v>6</v>
      </c>
      <c r="B848" s="7"/>
      <c r="C848" s="7"/>
      <c r="D848" s="7"/>
      <c r="E848" s="7"/>
      <c r="F848" s="9"/>
      <c r="H848" s="10"/>
      <c r="I848" s="10"/>
      <c r="J848" s="10"/>
      <c r="K848" s="10"/>
      <c r="L848" s="10"/>
      <c r="M848" s="10"/>
      <c r="N848" s="10"/>
      <c r="O848" s="7"/>
      <c r="P848" s="7"/>
      <c r="Q848" s="7"/>
      <c r="AB848" s="7"/>
    </row>
    <row r="849" spans="1:28" ht="13" x14ac:dyDescent="0.15">
      <c r="A849" s="7">
        <f t="shared" si="4"/>
        <v>6</v>
      </c>
      <c r="B849" s="7"/>
      <c r="C849" s="7"/>
      <c r="D849" s="7"/>
      <c r="E849" s="7"/>
      <c r="F849" s="9"/>
      <c r="H849" s="10"/>
      <c r="I849" s="10"/>
      <c r="J849" s="10"/>
      <c r="K849" s="10"/>
      <c r="L849" s="10"/>
      <c r="M849" s="10"/>
      <c r="N849" s="10"/>
      <c r="O849" s="7"/>
      <c r="P849" s="7"/>
      <c r="Q849" s="7"/>
      <c r="AB849" s="7"/>
    </row>
    <row r="850" spans="1:28" ht="13" x14ac:dyDescent="0.15">
      <c r="A850" s="7">
        <f t="shared" si="4"/>
        <v>6</v>
      </c>
      <c r="B850" s="7"/>
      <c r="C850" s="7"/>
      <c r="D850" s="7"/>
      <c r="E850" s="7"/>
      <c r="F850" s="9"/>
      <c r="H850" s="10"/>
      <c r="I850" s="10"/>
      <c r="J850" s="10"/>
      <c r="K850" s="10"/>
      <c r="L850" s="10"/>
      <c r="M850" s="10"/>
      <c r="N850" s="10"/>
      <c r="O850" s="7"/>
      <c r="P850" s="7"/>
      <c r="Q850" s="7"/>
      <c r="AB850" s="7"/>
    </row>
    <row r="851" spans="1:28" ht="13" x14ac:dyDescent="0.15">
      <c r="A851" s="7">
        <f t="shared" si="4"/>
        <v>6</v>
      </c>
      <c r="B851" s="7"/>
      <c r="C851" s="7"/>
      <c r="D851" s="7"/>
      <c r="E851" s="7"/>
      <c r="F851" s="9"/>
      <c r="H851" s="10"/>
      <c r="I851" s="10"/>
      <c r="J851" s="10"/>
      <c r="K851" s="10"/>
      <c r="L851" s="10"/>
      <c r="M851" s="10"/>
      <c r="N851" s="10"/>
      <c r="O851" s="7"/>
      <c r="P851" s="7"/>
      <c r="Q851" s="7"/>
      <c r="AB851" s="7"/>
    </row>
    <row r="852" spans="1:28" ht="13" x14ac:dyDescent="0.15">
      <c r="A852" s="7">
        <f t="shared" si="4"/>
        <v>6</v>
      </c>
      <c r="B852" s="7"/>
      <c r="C852" s="7"/>
      <c r="D852" s="7"/>
      <c r="E852" s="7"/>
      <c r="F852" s="9"/>
      <c r="H852" s="10"/>
      <c r="I852" s="10"/>
      <c r="J852" s="10"/>
      <c r="K852" s="10"/>
      <c r="L852" s="10"/>
      <c r="M852" s="10"/>
      <c r="N852" s="10"/>
      <c r="O852" s="7"/>
      <c r="P852" s="7"/>
      <c r="Q852" s="7"/>
      <c r="AB852" s="7"/>
    </row>
    <row r="853" spans="1:28" ht="13" x14ac:dyDescent="0.15">
      <c r="A853" s="7">
        <f t="shared" si="4"/>
        <v>6</v>
      </c>
      <c r="B853" s="7"/>
      <c r="C853" s="7"/>
      <c r="D853" s="7"/>
      <c r="E853" s="7"/>
      <c r="F853" s="9"/>
      <c r="H853" s="10"/>
      <c r="I853" s="10"/>
      <c r="J853" s="10"/>
      <c r="K853" s="10"/>
      <c r="L853" s="10"/>
      <c r="M853" s="10"/>
      <c r="N853" s="10"/>
      <c r="O853" s="7"/>
      <c r="P853" s="7"/>
      <c r="Q853" s="7"/>
      <c r="AB853" s="7"/>
    </row>
    <row r="854" spans="1:28" ht="13" x14ac:dyDescent="0.15">
      <c r="A854" s="7">
        <f t="shared" si="4"/>
        <v>6</v>
      </c>
      <c r="B854" s="7"/>
      <c r="C854" s="7"/>
      <c r="D854" s="7"/>
      <c r="E854" s="7"/>
      <c r="F854" s="9"/>
      <c r="H854" s="10"/>
      <c r="I854" s="10"/>
      <c r="J854" s="10"/>
      <c r="K854" s="10"/>
      <c r="L854" s="10"/>
      <c r="M854" s="10"/>
      <c r="N854" s="10"/>
      <c r="O854" s="7"/>
      <c r="P854" s="7"/>
      <c r="Q854" s="7"/>
      <c r="AB854" s="7"/>
    </row>
    <row r="855" spans="1:28" ht="13" x14ac:dyDescent="0.15">
      <c r="A855" s="7">
        <f t="shared" si="4"/>
        <v>6</v>
      </c>
      <c r="B855" s="7"/>
      <c r="C855" s="7"/>
      <c r="D855" s="7"/>
      <c r="E855" s="7"/>
      <c r="F855" s="9"/>
      <c r="H855" s="10"/>
      <c r="I855" s="10"/>
      <c r="J855" s="10"/>
      <c r="K855" s="10"/>
      <c r="L855" s="10"/>
      <c r="M855" s="10"/>
      <c r="N855" s="10"/>
      <c r="O855" s="7"/>
      <c r="P855" s="7"/>
      <c r="Q855" s="7"/>
      <c r="AB855" s="7"/>
    </row>
    <row r="856" spans="1:28" ht="13" x14ac:dyDescent="0.15">
      <c r="A856" s="7">
        <f t="shared" si="4"/>
        <v>6</v>
      </c>
      <c r="B856" s="7"/>
      <c r="C856" s="7"/>
      <c r="D856" s="7"/>
      <c r="E856" s="7"/>
      <c r="F856" s="9"/>
      <c r="H856" s="10"/>
      <c r="I856" s="10"/>
      <c r="J856" s="10"/>
      <c r="K856" s="10"/>
      <c r="L856" s="10"/>
      <c r="M856" s="10"/>
      <c r="N856" s="10"/>
      <c r="O856" s="7"/>
      <c r="P856" s="7"/>
      <c r="Q856" s="7"/>
      <c r="AB856" s="7"/>
    </row>
    <row r="857" spans="1:28" ht="13" x14ac:dyDescent="0.15">
      <c r="A857" s="7">
        <f t="shared" si="4"/>
        <v>6</v>
      </c>
      <c r="B857" s="7"/>
      <c r="C857" s="7"/>
      <c r="D857" s="7"/>
      <c r="E857" s="7"/>
      <c r="F857" s="9"/>
      <c r="H857" s="10"/>
      <c r="I857" s="10"/>
      <c r="J857" s="10"/>
      <c r="K857" s="10"/>
      <c r="L857" s="10"/>
      <c r="M857" s="10"/>
      <c r="N857" s="10"/>
      <c r="O857" s="7"/>
      <c r="P857" s="7"/>
      <c r="Q857" s="7"/>
      <c r="AB857" s="7"/>
    </row>
    <row r="858" spans="1:28" ht="13" x14ac:dyDescent="0.15">
      <c r="A858" s="7">
        <f t="shared" si="4"/>
        <v>6</v>
      </c>
      <c r="B858" s="7"/>
      <c r="C858" s="7"/>
      <c r="D858" s="7"/>
      <c r="E858" s="7"/>
      <c r="F858" s="9"/>
      <c r="H858" s="10"/>
      <c r="I858" s="10"/>
      <c r="J858" s="10"/>
      <c r="K858" s="10"/>
      <c r="L858" s="10"/>
      <c r="M858" s="10"/>
      <c r="N858" s="10"/>
      <c r="O858" s="7"/>
      <c r="P858" s="7"/>
      <c r="Q858" s="7"/>
      <c r="AB858" s="7"/>
    </row>
    <row r="859" spans="1:28" ht="13" x14ac:dyDescent="0.15">
      <c r="A859" s="7">
        <f t="shared" si="4"/>
        <v>6</v>
      </c>
      <c r="B859" s="7"/>
      <c r="C859" s="7"/>
      <c r="D859" s="7"/>
      <c r="E859" s="7"/>
      <c r="F859" s="9"/>
      <c r="H859" s="10"/>
      <c r="I859" s="10"/>
      <c r="J859" s="10"/>
      <c r="K859" s="10"/>
      <c r="L859" s="10"/>
      <c r="M859" s="10"/>
      <c r="N859" s="10"/>
      <c r="O859" s="7"/>
      <c r="P859" s="7"/>
      <c r="Q859" s="7"/>
      <c r="AB859" s="7"/>
    </row>
    <row r="860" spans="1:28" ht="13" x14ac:dyDescent="0.15">
      <c r="A860" s="7">
        <f t="shared" si="4"/>
        <v>6</v>
      </c>
      <c r="B860" s="7"/>
      <c r="C860" s="7"/>
      <c r="D860" s="7"/>
      <c r="E860" s="7"/>
      <c r="F860" s="9"/>
      <c r="H860" s="10"/>
      <c r="I860" s="10"/>
      <c r="J860" s="10"/>
      <c r="K860" s="10"/>
      <c r="L860" s="10"/>
      <c r="M860" s="10"/>
      <c r="N860" s="10"/>
      <c r="O860" s="7"/>
      <c r="P860" s="7"/>
      <c r="Q860" s="7"/>
      <c r="AB860" s="7"/>
    </row>
    <row r="861" spans="1:28" ht="13" x14ac:dyDescent="0.15">
      <c r="A861" s="7">
        <f t="shared" si="4"/>
        <v>6</v>
      </c>
      <c r="B861" s="7"/>
      <c r="C861" s="7"/>
      <c r="D861" s="7"/>
      <c r="E861" s="7"/>
      <c r="F861" s="9"/>
      <c r="H861" s="10"/>
      <c r="I861" s="10"/>
      <c r="J861" s="10"/>
      <c r="K861" s="10"/>
      <c r="L861" s="10"/>
      <c r="M861" s="10"/>
      <c r="N861" s="10"/>
      <c r="O861" s="7"/>
      <c r="P861" s="7"/>
      <c r="Q861" s="7"/>
      <c r="AB861" s="7"/>
    </row>
    <row r="862" spans="1:28" ht="13" x14ac:dyDescent="0.15">
      <c r="A862" s="7">
        <f t="shared" si="4"/>
        <v>6</v>
      </c>
      <c r="B862" s="7"/>
      <c r="C862" s="7"/>
      <c r="D862" s="7"/>
      <c r="E862" s="7"/>
      <c r="F862" s="9"/>
      <c r="H862" s="10"/>
      <c r="I862" s="10"/>
      <c r="J862" s="10"/>
      <c r="K862" s="10"/>
      <c r="L862" s="10"/>
      <c r="M862" s="10"/>
      <c r="N862" s="10"/>
      <c r="O862" s="7"/>
      <c r="P862" s="7"/>
      <c r="Q862" s="7"/>
      <c r="AB862" s="7"/>
    </row>
    <row r="863" spans="1:28" ht="13" x14ac:dyDescent="0.15">
      <c r="A863" s="7">
        <f t="shared" si="4"/>
        <v>6</v>
      </c>
      <c r="B863" s="7"/>
      <c r="C863" s="7"/>
      <c r="D863" s="7"/>
      <c r="E863" s="7"/>
      <c r="F863" s="9"/>
      <c r="H863" s="10"/>
      <c r="I863" s="10"/>
      <c r="J863" s="10"/>
      <c r="K863" s="10"/>
      <c r="L863" s="10"/>
      <c r="M863" s="10"/>
      <c r="N863" s="10"/>
      <c r="O863" s="7"/>
      <c r="P863" s="7"/>
      <c r="Q863" s="7"/>
      <c r="AB863" s="7"/>
    </row>
    <row r="864" spans="1:28" ht="13" x14ac:dyDescent="0.15">
      <c r="A864" s="7">
        <f t="shared" si="4"/>
        <v>6</v>
      </c>
      <c r="B864" s="7"/>
      <c r="C864" s="7"/>
      <c r="D864" s="7"/>
      <c r="E864" s="7"/>
      <c r="F864" s="9"/>
      <c r="H864" s="10"/>
      <c r="I864" s="10"/>
      <c r="J864" s="10"/>
      <c r="K864" s="10"/>
      <c r="L864" s="10"/>
      <c r="M864" s="10"/>
      <c r="N864" s="10"/>
      <c r="O864" s="7"/>
      <c r="P864" s="7"/>
      <c r="Q864" s="7"/>
      <c r="AB864" s="7"/>
    </row>
    <row r="865" spans="1:28" ht="13" x14ac:dyDescent="0.15">
      <c r="A865" s="7">
        <f t="shared" si="4"/>
        <v>6</v>
      </c>
      <c r="B865" s="7"/>
      <c r="C865" s="7"/>
      <c r="D865" s="7"/>
      <c r="E865" s="7"/>
      <c r="F865" s="9"/>
      <c r="H865" s="10"/>
      <c r="I865" s="10"/>
      <c r="J865" s="10"/>
      <c r="K865" s="10"/>
      <c r="L865" s="10"/>
      <c r="M865" s="10"/>
      <c r="N865" s="10"/>
      <c r="O865" s="7"/>
      <c r="P865" s="7"/>
      <c r="Q865" s="7"/>
      <c r="AB865" s="7"/>
    </row>
    <row r="866" spans="1:28" ht="13" x14ac:dyDescent="0.15">
      <c r="A866" s="7">
        <f t="shared" si="4"/>
        <v>6</v>
      </c>
      <c r="B866" s="7"/>
      <c r="C866" s="7"/>
      <c r="D866" s="7"/>
      <c r="E866" s="7"/>
      <c r="F866" s="9"/>
      <c r="H866" s="10"/>
      <c r="I866" s="10"/>
      <c r="J866" s="10"/>
      <c r="K866" s="10"/>
      <c r="L866" s="10"/>
      <c r="M866" s="10"/>
      <c r="N866" s="10"/>
      <c r="O866" s="7"/>
      <c r="P866" s="7"/>
      <c r="Q866" s="7"/>
      <c r="AB866" s="7"/>
    </row>
    <row r="867" spans="1:28" ht="13" x14ac:dyDescent="0.15">
      <c r="A867" s="7">
        <f t="shared" si="4"/>
        <v>6</v>
      </c>
      <c r="B867" s="7"/>
      <c r="C867" s="7"/>
      <c r="D867" s="7"/>
      <c r="E867" s="7"/>
      <c r="F867" s="9"/>
      <c r="H867" s="10"/>
      <c r="I867" s="10"/>
      <c r="J867" s="10"/>
      <c r="K867" s="10"/>
      <c r="L867" s="10"/>
      <c r="M867" s="10"/>
      <c r="N867" s="10"/>
      <c r="O867" s="7"/>
      <c r="P867" s="7"/>
      <c r="Q867" s="7"/>
      <c r="AB867" s="7"/>
    </row>
    <row r="868" spans="1:28" ht="13" x14ac:dyDescent="0.15">
      <c r="A868" s="7">
        <f t="shared" si="4"/>
        <v>6</v>
      </c>
      <c r="B868" s="7"/>
      <c r="C868" s="7"/>
      <c r="D868" s="7"/>
      <c r="E868" s="7"/>
      <c r="F868" s="9"/>
      <c r="H868" s="10"/>
      <c r="I868" s="10"/>
      <c r="J868" s="10"/>
      <c r="K868" s="10"/>
      <c r="L868" s="10"/>
      <c r="M868" s="10"/>
      <c r="N868" s="10"/>
      <c r="O868" s="7"/>
      <c r="P868" s="7"/>
      <c r="Q868" s="7"/>
      <c r="AB868" s="7"/>
    </row>
    <row r="869" spans="1:28" ht="13" x14ac:dyDescent="0.15">
      <c r="A869" s="7">
        <f t="shared" si="4"/>
        <v>6</v>
      </c>
      <c r="B869" s="7"/>
      <c r="C869" s="7"/>
      <c r="D869" s="7"/>
      <c r="E869" s="7"/>
      <c r="F869" s="9"/>
      <c r="H869" s="10"/>
      <c r="I869" s="10"/>
      <c r="J869" s="10"/>
      <c r="K869" s="10"/>
      <c r="L869" s="10"/>
      <c r="M869" s="10"/>
      <c r="N869" s="10"/>
      <c r="O869" s="7"/>
      <c r="P869" s="7"/>
      <c r="Q869" s="7"/>
      <c r="AB869" s="7"/>
    </row>
    <row r="870" spans="1:28" ht="13" x14ac:dyDescent="0.15">
      <c r="A870" s="7">
        <f t="shared" si="4"/>
        <v>6</v>
      </c>
      <c r="B870" s="7"/>
      <c r="C870" s="7"/>
      <c r="D870" s="7"/>
      <c r="E870" s="7"/>
      <c r="F870" s="9"/>
      <c r="H870" s="10"/>
      <c r="I870" s="10"/>
      <c r="J870" s="10"/>
      <c r="K870" s="10"/>
      <c r="L870" s="10"/>
      <c r="M870" s="10"/>
      <c r="N870" s="10"/>
      <c r="O870" s="7"/>
      <c r="P870" s="7"/>
      <c r="Q870" s="7"/>
      <c r="AB870" s="7"/>
    </row>
    <row r="871" spans="1:28" ht="13" x14ac:dyDescent="0.15">
      <c r="A871" s="7">
        <f t="shared" si="4"/>
        <v>6</v>
      </c>
      <c r="B871" s="7"/>
      <c r="C871" s="7"/>
      <c r="D871" s="7"/>
      <c r="E871" s="7"/>
      <c r="F871" s="9"/>
      <c r="H871" s="10"/>
      <c r="I871" s="10"/>
      <c r="J871" s="10"/>
      <c r="K871" s="10"/>
      <c r="L871" s="10"/>
      <c r="M871" s="10"/>
      <c r="N871" s="10"/>
      <c r="O871" s="7"/>
      <c r="P871" s="7"/>
      <c r="Q871" s="7"/>
      <c r="AB871" s="7"/>
    </row>
    <row r="872" spans="1:28" ht="13" x14ac:dyDescent="0.15">
      <c r="A872" s="7">
        <f t="shared" si="4"/>
        <v>6</v>
      </c>
      <c r="B872" s="7"/>
      <c r="C872" s="7"/>
      <c r="D872" s="7"/>
      <c r="E872" s="7"/>
      <c r="F872" s="9"/>
      <c r="H872" s="10"/>
      <c r="I872" s="10"/>
      <c r="J872" s="10"/>
      <c r="K872" s="10"/>
      <c r="L872" s="10"/>
      <c r="M872" s="10"/>
      <c r="N872" s="10"/>
      <c r="O872" s="7"/>
      <c r="P872" s="7"/>
      <c r="Q872" s="7"/>
      <c r="AB872" s="7"/>
    </row>
    <row r="873" spans="1:28" ht="13" x14ac:dyDescent="0.15">
      <c r="A873" s="7">
        <f t="shared" si="4"/>
        <v>6</v>
      </c>
      <c r="B873" s="7"/>
      <c r="C873" s="7"/>
      <c r="D873" s="7"/>
      <c r="E873" s="7"/>
      <c r="F873" s="9"/>
      <c r="H873" s="10"/>
      <c r="I873" s="10"/>
      <c r="J873" s="10"/>
      <c r="K873" s="10"/>
      <c r="L873" s="10"/>
      <c r="M873" s="10"/>
      <c r="N873" s="10"/>
      <c r="O873" s="7"/>
      <c r="P873" s="7"/>
      <c r="Q873" s="7"/>
      <c r="AB873" s="7"/>
    </row>
    <row r="874" spans="1:28" ht="13" x14ac:dyDescent="0.15">
      <c r="A874" s="7">
        <f t="shared" si="4"/>
        <v>6</v>
      </c>
      <c r="B874" s="7"/>
      <c r="C874" s="7"/>
      <c r="D874" s="7"/>
      <c r="E874" s="7"/>
      <c r="F874" s="9"/>
      <c r="H874" s="10"/>
      <c r="I874" s="10"/>
      <c r="J874" s="10"/>
      <c r="K874" s="10"/>
      <c r="L874" s="10"/>
      <c r="M874" s="10"/>
      <c r="N874" s="10"/>
      <c r="O874" s="7"/>
      <c r="P874" s="7"/>
      <c r="Q874" s="7"/>
      <c r="AB874" s="7"/>
    </row>
    <row r="875" spans="1:28" ht="13" x14ac:dyDescent="0.15">
      <c r="A875" s="7">
        <f t="shared" si="4"/>
        <v>6</v>
      </c>
      <c r="B875" s="7"/>
      <c r="C875" s="7"/>
      <c r="D875" s="7"/>
      <c r="E875" s="7"/>
      <c r="F875" s="9"/>
      <c r="H875" s="10"/>
      <c r="I875" s="10"/>
      <c r="J875" s="10"/>
      <c r="K875" s="10"/>
      <c r="L875" s="10"/>
      <c r="M875" s="10"/>
      <c r="N875" s="10"/>
      <c r="O875" s="7"/>
      <c r="P875" s="7"/>
      <c r="Q875" s="7"/>
      <c r="AB875" s="7"/>
    </row>
    <row r="876" spans="1:28" ht="13" x14ac:dyDescent="0.15">
      <c r="A876" s="7">
        <f t="shared" si="4"/>
        <v>6</v>
      </c>
      <c r="B876" s="7"/>
      <c r="C876" s="7"/>
      <c r="D876" s="7"/>
      <c r="E876" s="7"/>
      <c r="F876" s="9"/>
      <c r="H876" s="10"/>
      <c r="I876" s="10"/>
      <c r="J876" s="10"/>
      <c r="K876" s="10"/>
      <c r="L876" s="10"/>
      <c r="M876" s="10"/>
      <c r="N876" s="10"/>
      <c r="O876" s="7"/>
      <c r="P876" s="7"/>
      <c r="Q876" s="7"/>
      <c r="AB876" s="7"/>
    </row>
    <row r="877" spans="1:28" ht="13" x14ac:dyDescent="0.15">
      <c r="A877" s="7">
        <f t="shared" si="4"/>
        <v>6</v>
      </c>
      <c r="B877" s="7"/>
      <c r="C877" s="7"/>
      <c r="D877" s="7"/>
      <c r="E877" s="7"/>
      <c r="F877" s="9"/>
      <c r="H877" s="10"/>
      <c r="I877" s="10"/>
      <c r="J877" s="10"/>
      <c r="K877" s="10"/>
      <c r="L877" s="10"/>
      <c r="M877" s="10"/>
      <c r="N877" s="10"/>
      <c r="O877" s="7"/>
      <c r="P877" s="7"/>
      <c r="Q877" s="7"/>
      <c r="AB877" s="7"/>
    </row>
    <row r="878" spans="1:28" ht="13" x14ac:dyDescent="0.15">
      <c r="A878" s="7">
        <f t="shared" si="4"/>
        <v>6</v>
      </c>
      <c r="B878" s="7"/>
      <c r="C878" s="7"/>
      <c r="D878" s="7"/>
      <c r="E878" s="7"/>
      <c r="F878" s="9"/>
      <c r="H878" s="10"/>
      <c r="I878" s="10"/>
      <c r="J878" s="10"/>
      <c r="K878" s="10"/>
      <c r="L878" s="10"/>
      <c r="M878" s="10"/>
      <c r="N878" s="10"/>
      <c r="O878" s="7"/>
      <c r="P878" s="7"/>
      <c r="Q878" s="7"/>
      <c r="AB878" s="7"/>
    </row>
    <row r="879" spans="1:28" ht="13" x14ac:dyDescent="0.15">
      <c r="A879" s="7">
        <f t="shared" si="4"/>
        <v>6</v>
      </c>
      <c r="B879" s="7"/>
      <c r="C879" s="7"/>
      <c r="D879" s="7"/>
      <c r="E879" s="7"/>
      <c r="F879" s="9"/>
      <c r="H879" s="10"/>
      <c r="I879" s="10"/>
      <c r="J879" s="10"/>
      <c r="K879" s="10"/>
      <c r="L879" s="10"/>
      <c r="M879" s="10"/>
      <c r="N879" s="10"/>
      <c r="O879" s="7"/>
      <c r="P879" s="7"/>
      <c r="Q879" s="7"/>
      <c r="AB879" s="7"/>
    </row>
    <row r="880" spans="1:28" ht="13" x14ac:dyDescent="0.15">
      <c r="A880" s="7">
        <f t="shared" si="4"/>
        <v>6</v>
      </c>
      <c r="B880" s="7"/>
      <c r="C880" s="7"/>
      <c r="D880" s="7"/>
      <c r="E880" s="7"/>
      <c r="F880" s="9"/>
      <c r="H880" s="10"/>
      <c r="I880" s="10"/>
      <c r="J880" s="10"/>
      <c r="K880" s="10"/>
      <c r="L880" s="10"/>
      <c r="M880" s="10"/>
      <c r="N880" s="10"/>
      <c r="O880" s="7"/>
      <c r="P880" s="7"/>
      <c r="Q880" s="7"/>
      <c r="AB880" s="7"/>
    </row>
    <row r="881" spans="1:28" ht="13" x14ac:dyDescent="0.15">
      <c r="A881" s="7">
        <f t="shared" si="4"/>
        <v>6</v>
      </c>
      <c r="B881" s="7"/>
      <c r="C881" s="7"/>
      <c r="D881" s="7"/>
      <c r="E881" s="7"/>
      <c r="F881" s="9"/>
      <c r="H881" s="10"/>
      <c r="I881" s="10"/>
      <c r="J881" s="10"/>
      <c r="K881" s="10"/>
      <c r="L881" s="10"/>
      <c r="M881" s="10"/>
      <c r="N881" s="10"/>
      <c r="O881" s="7"/>
      <c r="P881" s="7"/>
      <c r="Q881" s="7"/>
      <c r="AB881" s="7"/>
    </row>
    <row r="882" spans="1:28" ht="13" x14ac:dyDescent="0.15">
      <c r="A882" s="7">
        <f t="shared" si="4"/>
        <v>6</v>
      </c>
      <c r="B882" s="7"/>
      <c r="C882" s="7"/>
      <c r="D882" s="7"/>
      <c r="E882" s="7"/>
      <c r="F882" s="9"/>
      <c r="H882" s="10"/>
      <c r="I882" s="10"/>
      <c r="J882" s="10"/>
      <c r="K882" s="10"/>
      <c r="L882" s="10"/>
      <c r="M882" s="10"/>
      <c r="N882" s="10"/>
      <c r="O882" s="7"/>
      <c r="P882" s="7"/>
      <c r="Q882" s="7"/>
      <c r="AB882" s="7"/>
    </row>
    <row r="883" spans="1:28" ht="13" x14ac:dyDescent="0.15">
      <c r="A883" s="7">
        <f t="shared" si="4"/>
        <v>6</v>
      </c>
      <c r="B883" s="7"/>
      <c r="C883" s="7"/>
      <c r="D883" s="7"/>
      <c r="E883" s="7"/>
      <c r="F883" s="9"/>
      <c r="H883" s="10"/>
      <c r="I883" s="10"/>
      <c r="J883" s="10"/>
      <c r="K883" s="10"/>
      <c r="L883" s="10"/>
      <c r="M883" s="10"/>
      <c r="N883" s="10"/>
      <c r="O883" s="7"/>
      <c r="P883" s="7"/>
      <c r="Q883" s="7"/>
      <c r="AB883" s="7"/>
    </row>
    <row r="884" spans="1:28" ht="13" x14ac:dyDescent="0.15">
      <c r="A884" s="7">
        <f t="shared" si="4"/>
        <v>6</v>
      </c>
      <c r="B884" s="7"/>
      <c r="C884" s="7"/>
      <c r="D884" s="7"/>
      <c r="E884" s="7"/>
      <c r="F884" s="9"/>
      <c r="H884" s="10"/>
      <c r="I884" s="10"/>
      <c r="J884" s="10"/>
      <c r="K884" s="10"/>
      <c r="L884" s="10"/>
      <c r="M884" s="10"/>
      <c r="N884" s="10"/>
      <c r="O884" s="7"/>
      <c r="P884" s="7"/>
      <c r="Q884" s="7"/>
      <c r="AB884" s="7"/>
    </row>
    <row r="885" spans="1:28" ht="13" x14ac:dyDescent="0.15">
      <c r="A885" s="7">
        <f t="shared" si="4"/>
        <v>6</v>
      </c>
      <c r="B885" s="7"/>
      <c r="C885" s="7"/>
      <c r="D885" s="7"/>
      <c r="E885" s="7"/>
      <c r="F885" s="9"/>
      <c r="H885" s="10"/>
      <c r="I885" s="10"/>
      <c r="J885" s="10"/>
      <c r="K885" s="10"/>
      <c r="L885" s="10"/>
      <c r="M885" s="10"/>
      <c r="N885" s="10"/>
      <c r="O885" s="7"/>
      <c r="P885" s="7"/>
      <c r="Q885" s="7"/>
      <c r="AB885" s="7"/>
    </row>
    <row r="886" spans="1:28" ht="13" x14ac:dyDescent="0.15">
      <c r="A886" s="7">
        <f t="shared" si="4"/>
        <v>6</v>
      </c>
      <c r="B886" s="7"/>
      <c r="C886" s="7"/>
      <c r="D886" s="7"/>
      <c r="E886" s="7"/>
      <c r="F886" s="9"/>
      <c r="H886" s="10"/>
      <c r="I886" s="10"/>
      <c r="J886" s="10"/>
      <c r="K886" s="10"/>
      <c r="L886" s="10"/>
      <c r="M886" s="10"/>
      <c r="N886" s="10"/>
      <c r="O886" s="7"/>
      <c r="P886" s="7"/>
      <c r="Q886" s="7"/>
      <c r="AB886" s="7"/>
    </row>
    <row r="887" spans="1:28" ht="13" x14ac:dyDescent="0.15">
      <c r="A887" s="7">
        <f t="shared" si="4"/>
        <v>6</v>
      </c>
      <c r="B887" s="7"/>
      <c r="C887" s="7"/>
      <c r="D887" s="7"/>
      <c r="E887" s="7"/>
      <c r="F887" s="9"/>
      <c r="H887" s="10"/>
      <c r="I887" s="10"/>
      <c r="J887" s="10"/>
      <c r="K887" s="10"/>
      <c r="L887" s="10"/>
      <c r="M887" s="10"/>
      <c r="N887" s="10"/>
      <c r="O887" s="7"/>
      <c r="P887" s="7"/>
      <c r="Q887" s="7"/>
      <c r="AB887" s="7"/>
    </row>
    <row r="888" spans="1:28" ht="13" x14ac:dyDescent="0.15">
      <c r="A888" s="7">
        <f t="shared" si="4"/>
        <v>6</v>
      </c>
      <c r="B888" s="7"/>
      <c r="C888" s="7"/>
      <c r="D888" s="7"/>
      <c r="E888" s="7"/>
      <c r="F888" s="9"/>
      <c r="H888" s="10"/>
      <c r="I888" s="10"/>
      <c r="J888" s="10"/>
      <c r="K888" s="10"/>
      <c r="L888" s="10"/>
      <c r="M888" s="10"/>
      <c r="N888" s="10"/>
      <c r="O888" s="7"/>
      <c r="P888" s="7"/>
      <c r="Q888" s="7"/>
      <c r="AB888" s="7"/>
    </row>
    <row r="889" spans="1:28" ht="13" x14ac:dyDescent="0.15">
      <c r="A889" s="7">
        <f t="shared" si="4"/>
        <v>6</v>
      </c>
      <c r="B889" s="7"/>
      <c r="C889" s="7"/>
      <c r="D889" s="7"/>
      <c r="E889" s="7"/>
      <c r="F889" s="9"/>
      <c r="H889" s="10"/>
      <c r="I889" s="10"/>
      <c r="J889" s="10"/>
      <c r="K889" s="10"/>
      <c r="L889" s="10"/>
      <c r="M889" s="10"/>
      <c r="N889" s="10"/>
      <c r="O889" s="7"/>
      <c r="P889" s="7"/>
      <c r="Q889" s="7"/>
      <c r="AB889" s="7"/>
    </row>
    <row r="890" spans="1:28" ht="13" x14ac:dyDescent="0.15">
      <c r="A890" s="7">
        <f t="shared" si="4"/>
        <v>6</v>
      </c>
      <c r="B890" s="7"/>
      <c r="C890" s="7"/>
      <c r="D890" s="7"/>
      <c r="E890" s="7"/>
      <c r="F890" s="9"/>
      <c r="H890" s="10"/>
      <c r="I890" s="10"/>
      <c r="J890" s="10"/>
      <c r="K890" s="10"/>
      <c r="L890" s="10"/>
      <c r="M890" s="10"/>
      <c r="N890" s="10"/>
      <c r="O890" s="7"/>
      <c r="P890" s="7"/>
      <c r="Q890" s="7"/>
      <c r="AB890" s="7"/>
    </row>
    <row r="891" spans="1:28" ht="13" x14ac:dyDescent="0.15">
      <c r="A891" s="7">
        <f t="shared" si="4"/>
        <v>6</v>
      </c>
      <c r="B891" s="7"/>
      <c r="C891" s="7"/>
      <c r="D891" s="7"/>
      <c r="E891" s="7"/>
      <c r="F891" s="9"/>
      <c r="H891" s="10"/>
      <c r="I891" s="10"/>
      <c r="J891" s="10"/>
      <c r="K891" s="10"/>
      <c r="L891" s="10"/>
      <c r="M891" s="10"/>
      <c r="N891" s="10"/>
      <c r="O891" s="7"/>
      <c r="P891" s="7"/>
      <c r="Q891" s="7"/>
      <c r="AB891" s="7"/>
    </row>
    <row r="892" spans="1:28" ht="13" x14ac:dyDescent="0.15">
      <c r="A892" s="7">
        <f t="shared" si="4"/>
        <v>6</v>
      </c>
      <c r="B892" s="7"/>
      <c r="C892" s="7"/>
      <c r="D892" s="7"/>
      <c r="E892" s="7"/>
      <c r="F892" s="9"/>
      <c r="H892" s="10"/>
      <c r="I892" s="10"/>
      <c r="J892" s="10"/>
      <c r="K892" s="10"/>
      <c r="L892" s="10"/>
      <c r="M892" s="10"/>
      <c r="N892" s="10"/>
      <c r="O892" s="7"/>
      <c r="P892" s="7"/>
      <c r="Q892" s="7"/>
      <c r="AB892" s="7"/>
    </row>
    <row r="893" spans="1:28" ht="13" x14ac:dyDescent="0.15">
      <c r="A893" s="7">
        <f t="shared" si="4"/>
        <v>6</v>
      </c>
      <c r="B893" s="7"/>
      <c r="C893" s="7"/>
      <c r="D893" s="7"/>
      <c r="E893" s="7"/>
      <c r="F893" s="9"/>
      <c r="H893" s="10"/>
      <c r="I893" s="10"/>
      <c r="J893" s="10"/>
      <c r="K893" s="10"/>
      <c r="L893" s="10"/>
      <c r="M893" s="10"/>
      <c r="N893" s="10"/>
      <c r="O893" s="7"/>
      <c r="P893" s="7"/>
      <c r="Q893" s="7"/>
      <c r="AB893" s="7"/>
    </row>
    <row r="894" spans="1:28" ht="13" x14ac:dyDescent="0.15">
      <c r="A894" s="7">
        <f t="shared" si="4"/>
        <v>6</v>
      </c>
      <c r="B894" s="7"/>
      <c r="C894" s="7"/>
      <c r="D894" s="7"/>
      <c r="E894" s="7"/>
      <c r="F894" s="9"/>
      <c r="H894" s="10"/>
      <c r="I894" s="10"/>
      <c r="J894" s="10"/>
      <c r="K894" s="10"/>
      <c r="L894" s="10"/>
      <c r="M894" s="10"/>
      <c r="N894" s="10"/>
      <c r="O894" s="7"/>
      <c r="P894" s="7"/>
      <c r="Q894" s="7"/>
      <c r="AB894" s="7"/>
    </row>
    <row r="895" spans="1:28" ht="13" x14ac:dyDescent="0.15">
      <c r="A895" s="7">
        <f t="shared" si="4"/>
        <v>6</v>
      </c>
      <c r="B895" s="7"/>
      <c r="C895" s="7"/>
      <c r="D895" s="7"/>
      <c r="E895" s="7"/>
      <c r="F895" s="9"/>
      <c r="H895" s="10"/>
      <c r="I895" s="10"/>
      <c r="J895" s="10"/>
      <c r="K895" s="10"/>
      <c r="L895" s="10"/>
      <c r="M895" s="10"/>
      <c r="N895" s="10"/>
      <c r="O895" s="7"/>
      <c r="P895" s="7"/>
      <c r="Q895" s="7"/>
      <c r="AB895" s="7"/>
    </row>
    <row r="896" spans="1:28" ht="13" x14ac:dyDescent="0.15">
      <c r="A896" s="7">
        <f t="shared" si="4"/>
        <v>6</v>
      </c>
      <c r="B896" s="7"/>
      <c r="C896" s="7"/>
      <c r="D896" s="7"/>
      <c r="E896" s="7"/>
      <c r="F896" s="9"/>
      <c r="H896" s="10"/>
      <c r="I896" s="10"/>
      <c r="J896" s="10"/>
      <c r="K896" s="10"/>
      <c r="L896" s="10"/>
      <c r="M896" s="10"/>
      <c r="N896" s="10"/>
      <c r="O896" s="7"/>
      <c r="P896" s="7"/>
      <c r="Q896" s="7"/>
      <c r="AB896" s="7"/>
    </row>
    <row r="897" spans="1:28" ht="13" x14ac:dyDescent="0.15">
      <c r="A897" s="7">
        <f t="shared" si="4"/>
        <v>6</v>
      </c>
      <c r="B897" s="7"/>
      <c r="C897" s="7"/>
      <c r="D897" s="7"/>
      <c r="E897" s="7"/>
      <c r="F897" s="9"/>
      <c r="H897" s="10"/>
      <c r="I897" s="10"/>
      <c r="J897" s="10"/>
      <c r="K897" s="10"/>
      <c r="L897" s="10"/>
      <c r="M897" s="10"/>
      <c r="N897" s="10"/>
      <c r="O897" s="7"/>
      <c r="P897" s="7"/>
      <c r="Q897" s="7"/>
      <c r="AB897" s="7"/>
    </row>
    <row r="898" spans="1:28" ht="13" x14ac:dyDescent="0.15">
      <c r="A898" s="7">
        <f t="shared" si="4"/>
        <v>6</v>
      </c>
      <c r="B898" s="7"/>
      <c r="C898" s="7"/>
      <c r="D898" s="7"/>
      <c r="E898" s="7"/>
      <c r="F898" s="9"/>
      <c r="H898" s="10"/>
      <c r="I898" s="10"/>
      <c r="J898" s="10"/>
      <c r="K898" s="10"/>
      <c r="L898" s="10"/>
      <c r="M898" s="10"/>
      <c r="N898" s="10"/>
      <c r="O898" s="7"/>
      <c r="P898" s="7"/>
      <c r="Q898" s="7"/>
      <c r="AB898" s="7"/>
    </row>
    <row r="899" spans="1:28" ht="13" x14ac:dyDescent="0.15">
      <c r="A899" s="7">
        <f t="shared" si="4"/>
        <v>6</v>
      </c>
      <c r="B899" s="7"/>
      <c r="C899" s="7"/>
      <c r="D899" s="7"/>
      <c r="E899" s="7"/>
      <c r="F899" s="9"/>
      <c r="H899" s="10"/>
      <c r="I899" s="10"/>
      <c r="J899" s="10"/>
      <c r="K899" s="10"/>
      <c r="L899" s="10"/>
      <c r="M899" s="10"/>
      <c r="N899" s="10"/>
      <c r="O899" s="7"/>
      <c r="P899" s="7"/>
      <c r="Q899" s="7"/>
      <c r="AB899" s="7"/>
    </row>
    <row r="900" spans="1:28" ht="13" x14ac:dyDescent="0.15">
      <c r="A900" s="7">
        <f t="shared" si="4"/>
        <v>6</v>
      </c>
      <c r="B900" s="7"/>
      <c r="C900" s="7"/>
      <c r="D900" s="7"/>
      <c r="E900" s="7"/>
      <c r="F900" s="9"/>
      <c r="H900" s="10"/>
      <c r="I900" s="10"/>
      <c r="J900" s="10"/>
      <c r="K900" s="10"/>
      <c r="L900" s="10"/>
      <c r="M900" s="10"/>
      <c r="N900" s="10"/>
      <c r="O900" s="7"/>
      <c r="P900" s="7"/>
      <c r="Q900" s="7"/>
      <c r="AB900" s="7"/>
    </row>
    <row r="901" spans="1:28" ht="13" x14ac:dyDescent="0.15">
      <c r="A901" s="7">
        <f t="shared" si="4"/>
        <v>6</v>
      </c>
      <c r="B901" s="7"/>
      <c r="C901" s="7"/>
      <c r="D901" s="7"/>
      <c r="E901" s="7"/>
      <c r="F901" s="9"/>
      <c r="H901" s="10"/>
      <c r="I901" s="10"/>
      <c r="J901" s="10"/>
      <c r="K901" s="10"/>
      <c r="L901" s="10"/>
      <c r="M901" s="10"/>
      <c r="N901" s="10"/>
      <c r="O901" s="7"/>
      <c r="P901" s="7"/>
      <c r="Q901" s="7"/>
      <c r="AB901" s="7"/>
    </row>
    <row r="902" spans="1:28" ht="13" x14ac:dyDescent="0.15">
      <c r="A902" s="7">
        <f t="shared" si="4"/>
        <v>6</v>
      </c>
      <c r="B902" s="7"/>
      <c r="C902" s="7"/>
      <c r="D902" s="7"/>
      <c r="E902" s="7"/>
      <c r="F902" s="9"/>
      <c r="H902" s="10"/>
      <c r="I902" s="10"/>
      <c r="J902" s="10"/>
      <c r="K902" s="10"/>
      <c r="L902" s="10"/>
      <c r="M902" s="10"/>
      <c r="N902" s="10"/>
      <c r="O902" s="7"/>
      <c r="P902" s="7"/>
      <c r="Q902" s="7"/>
      <c r="AB902" s="7"/>
    </row>
    <row r="903" spans="1:28" ht="13" x14ac:dyDescent="0.15">
      <c r="A903" s="7">
        <f t="shared" si="4"/>
        <v>6</v>
      </c>
      <c r="B903" s="7"/>
      <c r="C903" s="7"/>
      <c r="D903" s="7"/>
      <c r="E903" s="7"/>
      <c r="F903" s="9"/>
      <c r="H903" s="10"/>
      <c r="I903" s="10"/>
      <c r="J903" s="10"/>
      <c r="K903" s="10"/>
      <c r="L903" s="10"/>
      <c r="M903" s="10"/>
      <c r="N903" s="10"/>
      <c r="O903" s="7"/>
      <c r="P903" s="7"/>
      <c r="Q903" s="7"/>
      <c r="AB903" s="7"/>
    </row>
    <row r="904" spans="1:28" ht="13" x14ac:dyDescent="0.15">
      <c r="A904" s="7">
        <f t="shared" si="4"/>
        <v>6</v>
      </c>
      <c r="B904" s="7"/>
      <c r="C904" s="7"/>
      <c r="D904" s="7"/>
      <c r="E904" s="7"/>
      <c r="F904" s="9"/>
      <c r="H904" s="10"/>
      <c r="I904" s="10"/>
      <c r="J904" s="10"/>
      <c r="K904" s="10"/>
      <c r="L904" s="10"/>
      <c r="M904" s="10"/>
      <c r="N904" s="10"/>
      <c r="O904" s="7"/>
      <c r="P904" s="7"/>
      <c r="Q904" s="7"/>
      <c r="AB904" s="7"/>
    </row>
    <row r="905" spans="1:28" ht="13" x14ac:dyDescent="0.15">
      <c r="A905" s="7">
        <f t="shared" si="4"/>
        <v>6</v>
      </c>
      <c r="B905" s="7"/>
      <c r="C905" s="7"/>
      <c r="D905" s="7"/>
      <c r="E905" s="7"/>
      <c r="F905" s="9"/>
      <c r="H905" s="10"/>
      <c r="I905" s="10"/>
      <c r="J905" s="10"/>
      <c r="K905" s="10"/>
      <c r="L905" s="10"/>
      <c r="M905" s="10"/>
      <c r="N905" s="10"/>
      <c r="O905" s="7"/>
      <c r="P905" s="7"/>
      <c r="Q905" s="7"/>
      <c r="AB905" s="7"/>
    </row>
    <row r="906" spans="1:28" ht="13" x14ac:dyDescent="0.15">
      <c r="A906" s="7">
        <f t="shared" si="4"/>
        <v>6</v>
      </c>
      <c r="B906" s="7"/>
      <c r="C906" s="7"/>
      <c r="D906" s="7"/>
      <c r="E906" s="7"/>
      <c r="F906" s="9"/>
      <c r="H906" s="10"/>
      <c r="I906" s="10"/>
      <c r="J906" s="10"/>
      <c r="K906" s="10"/>
      <c r="L906" s="10"/>
      <c r="M906" s="10"/>
      <c r="N906" s="10"/>
      <c r="O906" s="7"/>
      <c r="P906" s="7"/>
      <c r="Q906" s="7"/>
      <c r="AB906" s="7"/>
    </row>
    <row r="907" spans="1:28" ht="13" x14ac:dyDescent="0.15">
      <c r="A907" s="7">
        <f t="shared" si="4"/>
        <v>6</v>
      </c>
      <c r="B907" s="7"/>
      <c r="C907" s="7"/>
      <c r="D907" s="7"/>
      <c r="E907" s="7"/>
      <c r="F907" s="9"/>
      <c r="H907" s="10"/>
      <c r="I907" s="10"/>
      <c r="J907" s="10"/>
      <c r="K907" s="10"/>
      <c r="L907" s="10"/>
      <c r="M907" s="10"/>
      <c r="N907" s="10"/>
      <c r="O907" s="7"/>
      <c r="P907" s="7"/>
      <c r="Q907" s="7"/>
      <c r="AB907" s="7"/>
    </row>
    <row r="908" spans="1:28" ht="13" x14ac:dyDescent="0.15">
      <c r="A908" s="7">
        <f t="shared" si="4"/>
        <v>6</v>
      </c>
      <c r="B908" s="7"/>
      <c r="C908" s="7"/>
      <c r="D908" s="7"/>
      <c r="E908" s="7"/>
      <c r="F908" s="9"/>
      <c r="H908" s="10"/>
      <c r="I908" s="10"/>
      <c r="J908" s="10"/>
      <c r="K908" s="10"/>
      <c r="L908" s="10"/>
      <c r="M908" s="10"/>
      <c r="N908" s="10"/>
      <c r="O908" s="7"/>
      <c r="P908" s="7"/>
      <c r="Q908" s="7"/>
      <c r="AB908" s="7"/>
    </row>
    <row r="909" spans="1:28" ht="13" x14ac:dyDescent="0.15">
      <c r="A909" s="7">
        <f t="shared" si="4"/>
        <v>6</v>
      </c>
      <c r="B909" s="7"/>
      <c r="C909" s="7"/>
      <c r="D909" s="7"/>
      <c r="E909" s="7"/>
      <c r="F909" s="9"/>
      <c r="H909" s="10"/>
      <c r="I909" s="10"/>
      <c r="J909" s="10"/>
      <c r="K909" s="10"/>
      <c r="L909" s="10"/>
      <c r="M909" s="10"/>
      <c r="N909" s="10"/>
      <c r="O909" s="7"/>
      <c r="P909" s="7"/>
      <c r="Q909" s="7"/>
      <c r="AB909" s="7"/>
    </row>
    <row r="910" spans="1:28" ht="13" x14ac:dyDescent="0.15">
      <c r="A910" s="7">
        <f t="shared" si="4"/>
        <v>6</v>
      </c>
      <c r="B910" s="7"/>
      <c r="C910" s="7"/>
      <c r="D910" s="7"/>
      <c r="E910" s="7"/>
      <c r="F910" s="9"/>
      <c r="H910" s="10"/>
      <c r="I910" s="10"/>
      <c r="J910" s="10"/>
      <c r="K910" s="10"/>
      <c r="L910" s="10"/>
      <c r="M910" s="10"/>
      <c r="N910" s="10"/>
      <c r="O910" s="7"/>
      <c r="P910" s="7"/>
      <c r="Q910" s="7"/>
      <c r="AB910" s="7"/>
    </row>
    <row r="911" spans="1:28" ht="13" x14ac:dyDescent="0.15">
      <c r="A911" s="7">
        <f t="shared" si="4"/>
        <v>6</v>
      </c>
      <c r="B911" s="7"/>
      <c r="C911" s="7"/>
      <c r="D911" s="7"/>
      <c r="E911" s="7"/>
      <c r="F911" s="9"/>
      <c r="H911" s="10"/>
      <c r="I911" s="10"/>
      <c r="J911" s="10"/>
      <c r="K911" s="10"/>
      <c r="L911" s="10"/>
      <c r="M911" s="10"/>
      <c r="N911" s="10"/>
      <c r="O911" s="7"/>
      <c r="P911" s="7"/>
      <c r="Q911" s="7"/>
      <c r="AB911" s="7"/>
    </row>
    <row r="912" spans="1:28" ht="13" x14ac:dyDescent="0.15">
      <c r="A912" s="7">
        <f t="shared" si="4"/>
        <v>6</v>
      </c>
      <c r="B912" s="7"/>
      <c r="C912" s="7"/>
      <c r="D912" s="7"/>
      <c r="E912" s="7"/>
      <c r="F912" s="9"/>
      <c r="H912" s="10"/>
      <c r="I912" s="10"/>
      <c r="J912" s="10"/>
      <c r="K912" s="10"/>
      <c r="L912" s="10"/>
      <c r="M912" s="10"/>
      <c r="N912" s="10"/>
      <c r="O912" s="7"/>
      <c r="P912" s="7"/>
      <c r="Q912" s="7"/>
      <c r="AB912" s="7"/>
    </row>
    <row r="913" spans="1:28" ht="13" x14ac:dyDescent="0.15">
      <c r="A913" s="7">
        <f t="shared" si="4"/>
        <v>6</v>
      </c>
      <c r="B913" s="7"/>
      <c r="C913" s="7"/>
      <c r="D913" s="7"/>
      <c r="E913" s="7"/>
      <c r="F913" s="9"/>
      <c r="H913" s="10"/>
      <c r="I913" s="10"/>
      <c r="J913" s="10"/>
      <c r="K913" s="10"/>
      <c r="L913" s="10"/>
      <c r="M913" s="10"/>
      <c r="N913" s="10"/>
      <c r="O913" s="7"/>
      <c r="P913" s="7"/>
      <c r="Q913" s="7"/>
      <c r="AB913" s="7"/>
    </row>
    <row r="914" spans="1:28" ht="13" x14ac:dyDescent="0.15">
      <c r="A914" s="7">
        <f t="shared" si="4"/>
        <v>6</v>
      </c>
      <c r="B914" s="7"/>
      <c r="C914" s="7"/>
      <c r="D914" s="7"/>
      <c r="E914" s="7"/>
      <c r="F914" s="9"/>
      <c r="H914" s="10"/>
      <c r="I914" s="10"/>
      <c r="J914" s="10"/>
      <c r="K914" s="10"/>
      <c r="L914" s="10"/>
      <c r="M914" s="10"/>
      <c r="N914" s="10"/>
      <c r="O914" s="7"/>
      <c r="P914" s="7"/>
      <c r="Q914" s="7"/>
      <c r="AB914" s="7"/>
    </row>
    <row r="915" spans="1:28" ht="13" x14ac:dyDescent="0.15">
      <c r="A915" s="7">
        <f t="shared" si="4"/>
        <v>6</v>
      </c>
      <c r="B915" s="7"/>
      <c r="C915" s="7"/>
      <c r="D915" s="7"/>
      <c r="E915" s="7"/>
      <c r="F915" s="9"/>
      <c r="H915" s="10"/>
      <c r="I915" s="10"/>
      <c r="J915" s="10"/>
      <c r="K915" s="10"/>
      <c r="L915" s="10"/>
      <c r="M915" s="10"/>
      <c r="N915" s="10"/>
      <c r="O915" s="7"/>
      <c r="P915" s="7"/>
      <c r="Q915" s="7"/>
      <c r="AB915" s="7"/>
    </row>
    <row r="916" spans="1:28" ht="13" x14ac:dyDescent="0.15">
      <c r="A916" s="7">
        <f t="shared" si="4"/>
        <v>6</v>
      </c>
      <c r="B916" s="7"/>
      <c r="C916" s="7"/>
      <c r="D916" s="7"/>
      <c r="E916" s="7"/>
      <c r="F916" s="9"/>
      <c r="H916" s="10"/>
      <c r="I916" s="10"/>
      <c r="J916" s="10"/>
      <c r="K916" s="10"/>
      <c r="L916" s="10"/>
      <c r="M916" s="10"/>
      <c r="N916" s="10"/>
      <c r="O916" s="7"/>
      <c r="P916" s="7"/>
      <c r="Q916" s="7"/>
      <c r="AB916" s="7"/>
    </row>
    <row r="917" spans="1:28" ht="13" x14ac:dyDescent="0.15">
      <c r="A917" s="7">
        <f t="shared" si="4"/>
        <v>6</v>
      </c>
      <c r="B917" s="7"/>
      <c r="C917" s="7"/>
      <c r="D917" s="7"/>
      <c r="E917" s="7"/>
      <c r="F917" s="9"/>
      <c r="H917" s="10"/>
      <c r="I917" s="10"/>
      <c r="J917" s="10"/>
      <c r="K917" s="10"/>
      <c r="L917" s="10"/>
      <c r="M917" s="10"/>
      <c r="N917" s="10"/>
      <c r="O917" s="7"/>
      <c r="P917" s="7"/>
      <c r="Q917" s="7"/>
      <c r="AB917" s="7"/>
    </row>
    <row r="918" spans="1:28" ht="13" x14ac:dyDescent="0.15">
      <c r="A918" s="7">
        <f t="shared" si="4"/>
        <v>6</v>
      </c>
      <c r="B918" s="7"/>
      <c r="C918" s="7"/>
      <c r="D918" s="7"/>
      <c r="E918" s="7"/>
      <c r="F918" s="9"/>
      <c r="H918" s="10"/>
      <c r="I918" s="10"/>
      <c r="J918" s="10"/>
      <c r="K918" s="10"/>
      <c r="L918" s="10"/>
      <c r="M918" s="10"/>
      <c r="N918" s="10"/>
      <c r="O918" s="7"/>
      <c r="P918" s="7"/>
      <c r="Q918" s="7"/>
      <c r="AB918" s="7"/>
    </row>
    <row r="919" spans="1:28" ht="13" x14ac:dyDescent="0.15">
      <c r="A919" s="7">
        <f t="shared" si="4"/>
        <v>6</v>
      </c>
      <c r="B919" s="7"/>
      <c r="C919" s="7"/>
      <c r="D919" s="7"/>
      <c r="E919" s="7"/>
      <c r="F919" s="9"/>
      <c r="H919" s="10"/>
      <c r="I919" s="10"/>
      <c r="J919" s="10"/>
      <c r="K919" s="10"/>
      <c r="L919" s="10"/>
      <c r="M919" s="10"/>
      <c r="N919" s="10"/>
      <c r="O919" s="7"/>
      <c r="P919" s="7"/>
      <c r="Q919" s="7"/>
      <c r="AB919" s="7"/>
    </row>
    <row r="920" spans="1:28" ht="13" x14ac:dyDescent="0.15">
      <c r="A920" s="7">
        <f t="shared" si="4"/>
        <v>6</v>
      </c>
      <c r="B920" s="7"/>
      <c r="C920" s="7"/>
      <c r="D920" s="7"/>
      <c r="E920" s="7"/>
      <c r="F920" s="9"/>
      <c r="H920" s="10"/>
      <c r="I920" s="10"/>
      <c r="J920" s="10"/>
      <c r="K920" s="10"/>
      <c r="L920" s="10"/>
      <c r="M920" s="10"/>
      <c r="N920" s="10"/>
      <c r="O920" s="7"/>
      <c r="P920" s="7"/>
      <c r="Q920" s="7"/>
      <c r="AB920" s="7"/>
    </row>
    <row r="921" spans="1:28" ht="13" x14ac:dyDescent="0.15">
      <c r="A921" s="7">
        <f t="shared" si="4"/>
        <v>6</v>
      </c>
      <c r="B921" s="7"/>
      <c r="C921" s="7"/>
      <c r="D921" s="7"/>
      <c r="E921" s="7"/>
      <c r="F921" s="9"/>
      <c r="H921" s="10"/>
      <c r="I921" s="10"/>
      <c r="J921" s="10"/>
      <c r="K921" s="10"/>
      <c r="L921" s="10"/>
      <c r="M921" s="10"/>
      <c r="N921" s="10"/>
      <c r="O921" s="7"/>
      <c r="P921" s="7"/>
      <c r="Q921" s="7"/>
      <c r="AB921" s="7"/>
    </row>
    <row r="922" spans="1:28" ht="13" x14ac:dyDescent="0.15">
      <c r="A922" s="7">
        <f t="shared" si="4"/>
        <v>6</v>
      </c>
      <c r="B922" s="7"/>
      <c r="C922" s="7"/>
      <c r="D922" s="7"/>
      <c r="E922" s="7"/>
      <c r="F922" s="9"/>
      <c r="H922" s="10"/>
      <c r="I922" s="10"/>
      <c r="J922" s="10"/>
      <c r="K922" s="10"/>
      <c r="L922" s="10"/>
      <c r="M922" s="10"/>
      <c r="N922" s="10"/>
      <c r="O922" s="7"/>
      <c r="P922" s="7"/>
      <c r="Q922" s="7"/>
      <c r="AB922" s="7"/>
    </row>
    <row r="923" spans="1:28" ht="13" x14ac:dyDescent="0.15">
      <c r="A923" s="7">
        <f t="shared" si="4"/>
        <v>6</v>
      </c>
      <c r="B923" s="7"/>
      <c r="C923" s="7"/>
      <c r="D923" s="7"/>
      <c r="E923" s="7"/>
      <c r="F923" s="9"/>
      <c r="H923" s="10"/>
      <c r="I923" s="10"/>
      <c r="J923" s="10"/>
      <c r="K923" s="10"/>
      <c r="L923" s="10"/>
      <c r="M923" s="10"/>
      <c r="N923" s="10"/>
      <c r="O923" s="7"/>
      <c r="P923" s="7"/>
      <c r="Q923" s="7"/>
      <c r="AB923" s="7"/>
    </row>
    <row r="924" spans="1:28" ht="13" x14ac:dyDescent="0.15">
      <c r="A924" s="7">
        <f t="shared" si="4"/>
        <v>6</v>
      </c>
      <c r="B924" s="7"/>
      <c r="C924" s="7"/>
      <c r="D924" s="7"/>
      <c r="E924" s="7"/>
      <c r="F924" s="9"/>
      <c r="H924" s="10"/>
      <c r="I924" s="10"/>
      <c r="J924" s="10"/>
      <c r="K924" s="10"/>
      <c r="L924" s="10"/>
      <c r="M924" s="10"/>
      <c r="N924" s="10"/>
      <c r="O924" s="7"/>
      <c r="P924" s="7"/>
      <c r="Q924" s="7"/>
      <c r="AB924" s="7"/>
    </row>
    <row r="925" spans="1:28" ht="13" x14ac:dyDescent="0.15">
      <c r="A925" s="7">
        <f t="shared" si="4"/>
        <v>6</v>
      </c>
      <c r="B925" s="7"/>
      <c r="C925" s="7"/>
      <c r="D925" s="7"/>
      <c r="E925" s="7"/>
      <c r="F925" s="9"/>
      <c r="H925" s="10"/>
      <c r="I925" s="10"/>
      <c r="J925" s="10"/>
      <c r="K925" s="10"/>
      <c r="L925" s="10"/>
      <c r="M925" s="10"/>
      <c r="N925" s="10"/>
      <c r="O925" s="7"/>
      <c r="P925" s="7"/>
      <c r="Q925" s="7"/>
      <c r="AB925" s="7"/>
    </row>
    <row r="926" spans="1:28" ht="13" x14ac:dyDescent="0.15">
      <c r="A926" s="7">
        <f t="shared" si="4"/>
        <v>6</v>
      </c>
      <c r="B926" s="7"/>
      <c r="C926" s="7"/>
      <c r="D926" s="7"/>
      <c r="E926" s="7"/>
      <c r="F926" s="9"/>
      <c r="H926" s="10"/>
      <c r="I926" s="10"/>
      <c r="J926" s="10"/>
      <c r="K926" s="10"/>
      <c r="L926" s="10"/>
      <c r="M926" s="10"/>
      <c r="N926" s="10"/>
      <c r="O926" s="7"/>
      <c r="P926" s="7"/>
      <c r="Q926" s="7"/>
      <c r="AB926" s="7"/>
    </row>
    <row r="927" spans="1:28" ht="13" x14ac:dyDescent="0.15">
      <c r="A927" s="7">
        <f t="shared" si="4"/>
        <v>6</v>
      </c>
      <c r="B927" s="7"/>
      <c r="C927" s="7"/>
      <c r="D927" s="7"/>
      <c r="E927" s="7"/>
      <c r="F927" s="9"/>
      <c r="H927" s="10"/>
      <c r="I927" s="10"/>
      <c r="J927" s="10"/>
      <c r="K927" s="10"/>
      <c r="L927" s="10"/>
      <c r="M927" s="10"/>
      <c r="N927" s="10"/>
      <c r="O927" s="7"/>
      <c r="P927" s="7"/>
      <c r="Q927" s="7"/>
      <c r="AB927" s="7"/>
    </row>
    <row r="928" spans="1:28" ht="13" x14ac:dyDescent="0.15">
      <c r="A928" s="7">
        <f t="shared" si="4"/>
        <v>6</v>
      </c>
      <c r="B928" s="7"/>
      <c r="C928" s="7"/>
      <c r="D928" s="7"/>
      <c r="E928" s="7"/>
      <c r="F928" s="9"/>
      <c r="H928" s="10"/>
      <c r="I928" s="10"/>
      <c r="J928" s="10"/>
      <c r="K928" s="10"/>
      <c r="L928" s="10"/>
      <c r="M928" s="10"/>
      <c r="N928" s="10"/>
      <c r="O928" s="7"/>
      <c r="P928" s="7"/>
      <c r="Q928" s="7"/>
      <c r="AB928" s="7"/>
    </row>
    <row r="929" spans="1:28" ht="13" x14ac:dyDescent="0.15">
      <c r="A929" s="7">
        <f t="shared" si="4"/>
        <v>6</v>
      </c>
      <c r="B929" s="7"/>
      <c r="C929" s="7"/>
      <c r="D929" s="7"/>
      <c r="E929" s="7"/>
      <c r="F929" s="9"/>
      <c r="H929" s="10"/>
      <c r="I929" s="10"/>
      <c r="J929" s="10"/>
      <c r="K929" s="10"/>
      <c r="L929" s="10"/>
      <c r="M929" s="10"/>
      <c r="N929" s="10"/>
      <c r="O929" s="7"/>
      <c r="P929" s="7"/>
      <c r="Q929" s="7"/>
      <c r="AB929" s="7"/>
    </row>
    <row r="930" spans="1:28" ht="13" x14ac:dyDescent="0.15">
      <c r="A930" s="7">
        <f t="shared" si="4"/>
        <v>6</v>
      </c>
      <c r="B930" s="7"/>
      <c r="C930" s="7"/>
      <c r="D930" s="7"/>
      <c r="E930" s="7"/>
      <c r="F930" s="9"/>
      <c r="H930" s="10"/>
      <c r="I930" s="10"/>
      <c r="J930" s="10"/>
      <c r="K930" s="10"/>
      <c r="L930" s="10"/>
      <c r="M930" s="10"/>
      <c r="N930" s="10"/>
      <c r="O930" s="7"/>
      <c r="P930" s="7"/>
      <c r="Q930" s="7"/>
      <c r="AB930" s="7"/>
    </row>
    <row r="931" spans="1:28" ht="13" x14ac:dyDescent="0.15">
      <c r="A931" s="7">
        <f t="shared" si="4"/>
        <v>6</v>
      </c>
      <c r="B931" s="7"/>
      <c r="C931" s="7"/>
      <c r="D931" s="7"/>
      <c r="E931" s="7"/>
      <c r="F931" s="9"/>
      <c r="H931" s="10"/>
      <c r="I931" s="10"/>
      <c r="J931" s="10"/>
      <c r="K931" s="10"/>
      <c r="L931" s="10"/>
      <c r="M931" s="10"/>
      <c r="N931" s="10"/>
      <c r="O931" s="7"/>
      <c r="P931" s="7"/>
      <c r="Q931" s="7"/>
      <c r="AB931" s="7"/>
    </row>
    <row r="932" spans="1:28" ht="13" x14ac:dyDescent="0.15">
      <c r="A932" s="7">
        <f t="shared" si="4"/>
        <v>6</v>
      </c>
      <c r="B932" s="7"/>
      <c r="C932" s="7"/>
      <c r="D932" s="7"/>
      <c r="E932" s="7"/>
      <c r="F932" s="9"/>
      <c r="H932" s="10"/>
      <c r="I932" s="10"/>
      <c r="J932" s="10"/>
      <c r="K932" s="10"/>
      <c r="L932" s="10"/>
      <c r="M932" s="10"/>
      <c r="N932" s="10"/>
      <c r="O932" s="7"/>
      <c r="P932" s="7"/>
      <c r="Q932" s="7"/>
      <c r="AB932" s="7"/>
    </row>
    <row r="933" spans="1:28" ht="13" x14ac:dyDescent="0.15">
      <c r="A933" s="7">
        <f t="shared" si="4"/>
        <v>6</v>
      </c>
      <c r="B933" s="7"/>
      <c r="C933" s="7"/>
      <c r="D933" s="7"/>
      <c r="E933" s="7"/>
      <c r="F933" s="9"/>
      <c r="H933" s="10"/>
      <c r="I933" s="10"/>
      <c r="J933" s="10"/>
      <c r="K933" s="10"/>
      <c r="L933" s="10"/>
      <c r="M933" s="10"/>
      <c r="N933" s="10"/>
      <c r="O933" s="7"/>
      <c r="P933" s="7"/>
      <c r="Q933" s="7"/>
      <c r="AB933" s="7"/>
    </row>
    <row r="934" spans="1:28" ht="13" x14ac:dyDescent="0.15">
      <c r="A934" s="7">
        <f t="shared" si="4"/>
        <v>6</v>
      </c>
      <c r="B934" s="7"/>
      <c r="C934" s="7"/>
      <c r="D934" s="7"/>
      <c r="E934" s="7"/>
      <c r="F934" s="9"/>
      <c r="H934" s="10"/>
      <c r="I934" s="10"/>
      <c r="J934" s="10"/>
      <c r="K934" s="10"/>
      <c r="L934" s="10"/>
      <c r="M934" s="10"/>
      <c r="N934" s="10"/>
      <c r="O934" s="7"/>
      <c r="P934" s="7"/>
      <c r="Q934" s="7"/>
      <c r="AB934" s="7"/>
    </row>
    <row r="935" spans="1:28" ht="13" x14ac:dyDescent="0.15">
      <c r="A935" s="7">
        <f t="shared" si="4"/>
        <v>6</v>
      </c>
      <c r="B935" s="7"/>
      <c r="C935" s="7"/>
      <c r="D935" s="7"/>
      <c r="E935" s="7"/>
      <c r="F935" s="9"/>
      <c r="H935" s="10"/>
      <c r="I935" s="10"/>
      <c r="J935" s="10"/>
      <c r="K935" s="10"/>
      <c r="L935" s="10"/>
      <c r="M935" s="10"/>
      <c r="N935" s="10"/>
      <c r="O935" s="7"/>
      <c r="P935" s="7"/>
      <c r="Q935" s="7"/>
      <c r="AB935" s="7"/>
    </row>
    <row r="936" spans="1:28" ht="13" x14ac:dyDescent="0.15">
      <c r="A936" s="7">
        <f t="shared" si="4"/>
        <v>6</v>
      </c>
      <c r="B936" s="7"/>
      <c r="C936" s="7"/>
      <c r="D936" s="7"/>
      <c r="E936" s="7"/>
      <c r="F936" s="9"/>
      <c r="H936" s="10"/>
      <c r="I936" s="10"/>
      <c r="J936" s="10"/>
      <c r="K936" s="10"/>
      <c r="L936" s="10"/>
      <c r="M936" s="10"/>
      <c r="N936" s="10"/>
      <c r="O936" s="7"/>
      <c r="P936" s="7"/>
      <c r="Q936" s="7"/>
      <c r="AB936" s="7"/>
    </row>
    <row r="937" spans="1:28" ht="13" x14ac:dyDescent="0.15">
      <c r="A937" s="7">
        <f t="shared" si="4"/>
        <v>6</v>
      </c>
      <c r="B937" s="7"/>
      <c r="C937" s="7"/>
      <c r="D937" s="7"/>
      <c r="E937" s="7"/>
      <c r="F937" s="9"/>
      <c r="H937" s="10"/>
      <c r="I937" s="10"/>
      <c r="J937" s="10"/>
      <c r="K937" s="10"/>
      <c r="L937" s="10"/>
      <c r="M937" s="10"/>
      <c r="N937" s="10"/>
      <c r="O937" s="7"/>
      <c r="P937" s="7"/>
      <c r="Q937" s="7"/>
      <c r="AB937" s="7"/>
    </row>
    <row r="938" spans="1:28" ht="13" x14ac:dyDescent="0.15">
      <c r="A938" s="7">
        <f t="shared" si="4"/>
        <v>6</v>
      </c>
      <c r="B938" s="7"/>
      <c r="C938" s="7"/>
      <c r="D938" s="7"/>
      <c r="E938" s="7"/>
      <c r="F938" s="9"/>
      <c r="H938" s="10"/>
      <c r="I938" s="10"/>
      <c r="J938" s="10"/>
      <c r="K938" s="10"/>
      <c r="L938" s="10"/>
      <c r="M938" s="10"/>
      <c r="N938" s="10"/>
      <c r="O938" s="7"/>
      <c r="P938" s="7"/>
      <c r="Q938" s="7"/>
      <c r="AB938" s="7"/>
    </row>
    <row r="939" spans="1:28" ht="13" x14ac:dyDescent="0.15">
      <c r="A939" s="7">
        <f t="shared" si="4"/>
        <v>6</v>
      </c>
      <c r="B939" s="7"/>
      <c r="C939" s="7"/>
      <c r="D939" s="7"/>
      <c r="E939" s="7"/>
      <c r="F939" s="9"/>
      <c r="H939" s="10"/>
      <c r="I939" s="10"/>
      <c r="J939" s="10"/>
      <c r="K939" s="10"/>
      <c r="L939" s="10"/>
      <c r="M939" s="10"/>
      <c r="N939" s="10"/>
      <c r="O939" s="7"/>
      <c r="P939" s="7"/>
      <c r="Q939" s="7"/>
      <c r="AB939" s="7"/>
    </row>
    <row r="940" spans="1:28" ht="13" x14ac:dyDescent="0.15">
      <c r="A940" s="7">
        <f t="shared" si="4"/>
        <v>6</v>
      </c>
      <c r="B940" s="7"/>
      <c r="C940" s="7"/>
      <c r="D940" s="7"/>
      <c r="E940" s="7"/>
      <c r="F940" s="9"/>
      <c r="H940" s="10"/>
      <c r="I940" s="10"/>
      <c r="J940" s="10"/>
      <c r="K940" s="10"/>
      <c r="L940" s="10"/>
      <c r="M940" s="10"/>
      <c r="N940" s="10"/>
      <c r="O940" s="7"/>
      <c r="P940" s="7"/>
      <c r="Q940" s="7"/>
      <c r="AB940" s="7"/>
    </row>
    <row r="941" spans="1:28" ht="13" x14ac:dyDescent="0.15">
      <c r="A941" s="7">
        <f t="shared" si="4"/>
        <v>6</v>
      </c>
      <c r="B941" s="7"/>
      <c r="C941" s="7"/>
      <c r="D941" s="7"/>
      <c r="E941" s="7"/>
      <c r="F941" s="9"/>
      <c r="H941" s="10"/>
      <c r="I941" s="10"/>
      <c r="J941" s="10"/>
      <c r="K941" s="10"/>
      <c r="L941" s="10"/>
      <c r="M941" s="10"/>
      <c r="N941" s="10"/>
      <c r="O941" s="7"/>
      <c r="P941" s="7"/>
      <c r="Q941" s="7"/>
      <c r="AB941" s="7"/>
    </row>
    <row r="942" spans="1:28" ht="13" x14ac:dyDescent="0.15">
      <c r="A942" s="7">
        <f t="shared" si="4"/>
        <v>6</v>
      </c>
      <c r="B942" s="7"/>
      <c r="C942" s="7"/>
      <c r="D942" s="7"/>
      <c r="E942" s="7"/>
      <c r="F942" s="9"/>
      <c r="H942" s="10"/>
      <c r="I942" s="10"/>
      <c r="J942" s="10"/>
      <c r="K942" s="10"/>
      <c r="L942" s="10"/>
      <c r="M942" s="10"/>
      <c r="N942" s="10"/>
      <c r="O942" s="7"/>
      <c r="P942" s="7"/>
      <c r="Q942" s="7"/>
      <c r="AB942" s="7"/>
    </row>
    <row r="943" spans="1:28" ht="13" x14ac:dyDescent="0.15">
      <c r="A943" s="7">
        <f t="shared" si="4"/>
        <v>6</v>
      </c>
      <c r="B943" s="7"/>
      <c r="C943" s="7"/>
      <c r="D943" s="7"/>
      <c r="E943" s="7"/>
      <c r="F943" s="9"/>
      <c r="H943" s="10"/>
      <c r="I943" s="10"/>
      <c r="J943" s="10"/>
      <c r="K943" s="10"/>
      <c r="L943" s="10"/>
      <c r="M943" s="10"/>
      <c r="N943" s="10"/>
      <c r="O943" s="7"/>
      <c r="P943" s="7"/>
      <c r="Q943" s="7"/>
      <c r="AB943" s="7"/>
    </row>
    <row r="944" spans="1:28" ht="13" x14ac:dyDescent="0.15">
      <c r="A944" s="7">
        <f t="shared" si="4"/>
        <v>6</v>
      </c>
      <c r="B944" s="7"/>
      <c r="C944" s="7"/>
      <c r="D944" s="7"/>
      <c r="E944" s="7"/>
      <c r="F944" s="9"/>
      <c r="H944" s="10"/>
      <c r="I944" s="10"/>
      <c r="J944" s="10"/>
      <c r="K944" s="10"/>
      <c r="L944" s="10"/>
      <c r="M944" s="10"/>
      <c r="N944" s="10"/>
      <c r="O944" s="7"/>
      <c r="P944" s="7"/>
      <c r="Q944" s="7"/>
      <c r="AB944" s="7"/>
    </row>
    <row r="945" spans="1:28" ht="13" x14ac:dyDescent="0.15">
      <c r="A945" s="7">
        <f t="shared" si="4"/>
        <v>6</v>
      </c>
      <c r="B945" s="7"/>
      <c r="C945" s="7"/>
      <c r="D945" s="7"/>
      <c r="E945" s="7"/>
      <c r="F945" s="9"/>
      <c r="H945" s="10"/>
      <c r="I945" s="10"/>
      <c r="J945" s="10"/>
      <c r="K945" s="10"/>
      <c r="L945" s="10"/>
      <c r="M945" s="10"/>
      <c r="N945" s="10"/>
      <c r="O945" s="7"/>
      <c r="P945" s="7"/>
      <c r="Q945" s="7"/>
      <c r="AB945" s="7"/>
    </row>
    <row r="946" spans="1:28" ht="13" x14ac:dyDescent="0.15">
      <c r="A946" s="7">
        <f t="shared" si="4"/>
        <v>6</v>
      </c>
      <c r="B946" s="7"/>
      <c r="C946" s="7"/>
      <c r="D946" s="7"/>
      <c r="E946" s="7"/>
      <c r="F946" s="9"/>
      <c r="H946" s="10"/>
      <c r="I946" s="10"/>
      <c r="J946" s="10"/>
      <c r="K946" s="10"/>
      <c r="L946" s="10"/>
      <c r="M946" s="10"/>
      <c r="N946" s="10"/>
      <c r="O946" s="7"/>
      <c r="P946" s="7"/>
      <c r="Q946" s="7"/>
      <c r="AB946" s="7"/>
    </row>
    <row r="947" spans="1:28" ht="13" x14ac:dyDescent="0.15">
      <c r="A947" s="7">
        <f t="shared" si="4"/>
        <v>6</v>
      </c>
      <c r="B947" s="7"/>
      <c r="C947" s="7"/>
      <c r="D947" s="7"/>
      <c r="E947" s="7"/>
      <c r="F947" s="9"/>
      <c r="H947" s="10"/>
      <c r="I947" s="10"/>
      <c r="J947" s="10"/>
      <c r="K947" s="10"/>
      <c r="L947" s="10"/>
      <c r="M947" s="10"/>
      <c r="N947" s="10"/>
      <c r="O947" s="7"/>
      <c r="P947" s="7"/>
      <c r="Q947" s="7"/>
      <c r="AB947" s="7"/>
    </row>
    <row r="948" spans="1:28" ht="13" x14ac:dyDescent="0.15">
      <c r="A948" s="7">
        <f t="shared" si="4"/>
        <v>6</v>
      </c>
      <c r="B948" s="7"/>
      <c r="C948" s="7"/>
      <c r="D948" s="7"/>
      <c r="E948" s="7"/>
      <c r="F948" s="9"/>
      <c r="H948" s="10"/>
      <c r="I948" s="10"/>
      <c r="J948" s="10"/>
      <c r="K948" s="10"/>
      <c r="L948" s="10"/>
      <c r="M948" s="10"/>
      <c r="N948" s="10"/>
      <c r="O948" s="7"/>
      <c r="P948" s="7"/>
      <c r="Q948" s="7"/>
      <c r="AB948" s="7"/>
    </row>
    <row r="949" spans="1:28" ht="13" x14ac:dyDescent="0.15">
      <c r="A949" s="7">
        <f t="shared" si="4"/>
        <v>6</v>
      </c>
      <c r="B949" s="7"/>
      <c r="C949" s="7"/>
      <c r="D949" s="7"/>
      <c r="E949" s="7"/>
      <c r="F949" s="9"/>
      <c r="H949" s="10"/>
      <c r="I949" s="10"/>
      <c r="J949" s="10"/>
      <c r="K949" s="10"/>
      <c r="L949" s="10"/>
      <c r="M949" s="10"/>
      <c r="N949" s="10"/>
      <c r="O949" s="7"/>
      <c r="P949" s="7"/>
      <c r="Q949" s="7"/>
      <c r="AB949" s="7"/>
    </row>
    <row r="950" spans="1:28" ht="13" x14ac:dyDescent="0.15">
      <c r="A950" s="7">
        <f t="shared" si="4"/>
        <v>6</v>
      </c>
      <c r="B950" s="7"/>
      <c r="C950" s="7"/>
      <c r="D950" s="7"/>
      <c r="E950" s="7"/>
      <c r="F950" s="9"/>
      <c r="H950" s="10"/>
      <c r="I950" s="10"/>
      <c r="J950" s="10"/>
      <c r="K950" s="10"/>
      <c r="L950" s="10"/>
      <c r="M950" s="10"/>
      <c r="N950" s="10"/>
      <c r="O950" s="7"/>
      <c r="P950" s="7"/>
      <c r="Q950" s="7"/>
      <c r="AB950" s="7"/>
    </row>
    <row r="951" spans="1:28" ht="13" x14ac:dyDescent="0.15">
      <c r="A951" s="7">
        <f t="shared" si="4"/>
        <v>6</v>
      </c>
      <c r="B951" s="7"/>
      <c r="C951" s="7"/>
      <c r="D951" s="7"/>
      <c r="E951" s="7"/>
      <c r="F951" s="9"/>
      <c r="H951" s="10"/>
      <c r="I951" s="10"/>
      <c r="J951" s="10"/>
      <c r="K951" s="10"/>
      <c r="L951" s="10"/>
      <c r="M951" s="10"/>
      <c r="N951" s="10"/>
      <c r="O951" s="7"/>
      <c r="P951" s="7"/>
      <c r="Q951" s="7"/>
      <c r="AB951" s="7"/>
    </row>
    <row r="952" spans="1:28" ht="13" x14ac:dyDescent="0.15">
      <c r="A952" s="7">
        <f t="shared" si="4"/>
        <v>6</v>
      </c>
      <c r="B952" s="7"/>
      <c r="C952" s="7"/>
      <c r="D952" s="7"/>
      <c r="E952" s="7"/>
      <c r="F952" s="9"/>
      <c r="H952" s="10"/>
      <c r="I952" s="10"/>
      <c r="J952" s="10"/>
      <c r="K952" s="10"/>
      <c r="L952" s="10"/>
      <c r="M952" s="10"/>
      <c r="N952" s="10"/>
      <c r="O952" s="7"/>
      <c r="P952" s="7"/>
      <c r="Q952" s="7"/>
      <c r="AB952" s="7"/>
    </row>
    <row r="953" spans="1:28" ht="13" x14ac:dyDescent="0.15">
      <c r="A953" s="7">
        <f t="shared" si="4"/>
        <v>6</v>
      </c>
      <c r="B953" s="7"/>
      <c r="C953" s="7"/>
      <c r="D953" s="7"/>
      <c r="E953" s="7"/>
      <c r="F953" s="9"/>
      <c r="H953" s="10"/>
      <c r="I953" s="10"/>
      <c r="J953" s="10"/>
      <c r="K953" s="10"/>
      <c r="L953" s="10"/>
      <c r="M953" s="10"/>
      <c r="N953" s="10"/>
      <c r="O953" s="7"/>
      <c r="P953" s="7"/>
      <c r="Q953" s="7"/>
      <c r="AB953" s="7"/>
    </row>
    <row r="954" spans="1:28" ht="13" x14ac:dyDescent="0.15">
      <c r="A954" s="7">
        <f t="shared" si="4"/>
        <v>6</v>
      </c>
      <c r="B954" s="7"/>
      <c r="C954" s="7"/>
      <c r="D954" s="7"/>
      <c r="E954" s="7"/>
      <c r="F954" s="9"/>
      <c r="H954" s="10"/>
      <c r="I954" s="10"/>
      <c r="J954" s="10"/>
      <c r="K954" s="10"/>
      <c r="L954" s="10"/>
      <c r="M954" s="10"/>
      <c r="N954" s="10"/>
      <c r="O954" s="7"/>
      <c r="P954" s="7"/>
      <c r="Q954" s="7"/>
      <c r="AB954" s="7"/>
    </row>
    <row r="955" spans="1:28" ht="13" x14ac:dyDescent="0.15">
      <c r="A955" s="7">
        <f t="shared" si="4"/>
        <v>6</v>
      </c>
      <c r="B955" s="7"/>
      <c r="C955" s="7"/>
      <c r="D955" s="7"/>
      <c r="E955" s="7"/>
      <c r="F955" s="9"/>
      <c r="H955" s="10"/>
      <c r="I955" s="10"/>
      <c r="J955" s="10"/>
      <c r="K955" s="10"/>
      <c r="L955" s="10"/>
      <c r="M955" s="10"/>
      <c r="N955" s="10"/>
      <c r="O955" s="7"/>
      <c r="P955" s="7"/>
      <c r="Q955" s="7"/>
      <c r="AB955" s="7"/>
    </row>
    <row r="956" spans="1:28" ht="13" x14ac:dyDescent="0.15">
      <c r="A956" s="7">
        <f t="shared" si="4"/>
        <v>6</v>
      </c>
      <c r="B956" s="7"/>
      <c r="C956" s="7"/>
      <c r="D956" s="7"/>
      <c r="E956" s="7"/>
      <c r="F956" s="9"/>
      <c r="H956" s="10"/>
      <c r="I956" s="10"/>
      <c r="J956" s="10"/>
      <c r="K956" s="10"/>
      <c r="L956" s="10"/>
      <c r="M956" s="10"/>
      <c r="N956" s="10"/>
      <c r="O956" s="7"/>
      <c r="P956" s="7"/>
      <c r="Q956" s="7"/>
      <c r="AB956" s="7"/>
    </row>
    <row r="957" spans="1:28" ht="13" x14ac:dyDescent="0.15">
      <c r="A957" s="7">
        <f t="shared" si="4"/>
        <v>6</v>
      </c>
      <c r="B957" s="7"/>
      <c r="C957" s="7"/>
      <c r="D957" s="7"/>
      <c r="E957" s="7"/>
      <c r="F957" s="9"/>
      <c r="H957" s="10"/>
      <c r="I957" s="10"/>
      <c r="J957" s="10"/>
      <c r="K957" s="10"/>
      <c r="L957" s="10"/>
      <c r="M957" s="10"/>
      <c r="N957" s="10"/>
      <c r="O957" s="7"/>
      <c r="P957" s="7"/>
      <c r="Q957" s="7"/>
      <c r="AB957" s="7"/>
    </row>
    <row r="958" spans="1:28" ht="13" x14ac:dyDescent="0.15">
      <c r="A958" s="7">
        <f t="shared" si="4"/>
        <v>6</v>
      </c>
      <c r="B958" s="7"/>
      <c r="C958" s="7"/>
      <c r="D958" s="7"/>
      <c r="E958" s="7"/>
      <c r="F958" s="9"/>
      <c r="H958" s="10"/>
      <c r="I958" s="10"/>
      <c r="J958" s="10"/>
      <c r="K958" s="10"/>
      <c r="L958" s="10"/>
      <c r="M958" s="10"/>
      <c r="N958" s="10"/>
      <c r="O958" s="7"/>
      <c r="P958" s="7"/>
      <c r="Q958" s="7"/>
      <c r="AB958" s="7"/>
    </row>
    <row r="959" spans="1:28" ht="13" x14ac:dyDescent="0.15">
      <c r="A959" s="7">
        <f t="shared" si="4"/>
        <v>6</v>
      </c>
      <c r="B959" s="7"/>
      <c r="C959" s="7"/>
      <c r="D959" s="7"/>
      <c r="E959" s="7"/>
      <c r="F959" s="9"/>
      <c r="H959" s="10"/>
      <c r="I959" s="10"/>
      <c r="J959" s="10"/>
      <c r="K959" s="10"/>
      <c r="L959" s="10"/>
      <c r="M959" s="10"/>
      <c r="N959" s="10"/>
      <c r="O959" s="7"/>
      <c r="P959" s="7"/>
      <c r="Q959" s="7"/>
      <c r="AB959" s="7"/>
    </row>
    <row r="960" spans="1:28" ht="13" x14ac:dyDescent="0.15">
      <c r="A960" s="7">
        <f t="shared" si="4"/>
        <v>6</v>
      </c>
      <c r="B960" s="7"/>
      <c r="C960" s="7"/>
      <c r="D960" s="7"/>
      <c r="E960" s="7"/>
      <c r="F960" s="9"/>
      <c r="H960" s="10"/>
      <c r="I960" s="10"/>
      <c r="J960" s="10"/>
      <c r="K960" s="10"/>
      <c r="L960" s="10"/>
      <c r="M960" s="10"/>
      <c r="N960" s="10"/>
      <c r="O960" s="7"/>
      <c r="P960" s="7"/>
      <c r="Q960" s="7"/>
      <c r="AB960" s="7"/>
    </row>
    <row r="961" spans="1:28" ht="13" x14ac:dyDescent="0.15">
      <c r="A961" s="7">
        <f t="shared" si="4"/>
        <v>6</v>
      </c>
      <c r="B961" s="7"/>
      <c r="C961" s="7"/>
      <c r="D961" s="7"/>
      <c r="E961" s="7"/>
      <c r="F961" s="9"/>
      <c r="H961" s="10"/>
      <c r="I961" s="10"/>
      <c r="J961" s="10"/>
      <c r="K961" s="10"/>
      <c r="L961" s="10"/>
      <c r="M961" s="10"/>
      <c r="N961" s="10"/>
      <c r="O961" s="7"/>
      <c r="P961" s="7"/>
      <c r="Q961" s="7"/>
      <c r="AB961" s="7"/>
    </row>
    <row r="962" spans="1:28" ht="13" x14ac:dyDescent="0.15">
      <c r="A962" s="7">
        <f t="shared" si="4"/>
        <v>6</v>
      </c>
      <c r="B962" s="7"/>
      <c r="C962" s="7"/>
      <c r="D962" s="7"/>
      <c r="E962" s="7"/>
      <c r="F962" s="9"/>
      <c r="H962" s="10"/>
      <c r="I962" s="10"/>
      <c r="J962" s="10"/>
      <c r="K962" s="10"/>
      <c r="L962" s="10"/>
      <c r="M962" s="10"/>
      <c r="N962" s="10"/>
      <c r="O962" s="7"/>
      <c r="P962" s="7"/>
      <c r="Q962" s="7"/>
      <c r="AB962" s="7"/>
    </row>
    <row r="963" spans="1:28" ht="13" x14ac:dyDescent="0.15">
      <c r="A963" s="7">
        <f t="shared" si="4"/>
        <v>6</v>
      </c>
      <c r="B963" s="7"/>
      <c r="C963" s="7"/>
      <c r="D963" s="7"/>
      <c r="E963" s="7"/>
      <c r="F963" s="9"/>
      <c r="H963" s="10"/>
      <c r="I963" s="10"/>
      <c r="J963" s="10"/>
      <c r="K963" s="10"/>
      <c r="L963" s="10"/>
      <c r="M963" s="10"/>
      <c r="N963" s="10"/>
      <c r="O963" s="7"/>
      <c r="P963" s="7"/>
      <c r="Q963" s="7"/>
      <c r="AB963" s="7"/>
    </row>
    <row r="964" spans="1:28" ht="13" x14ac:dyDescent="0.15">
      <c r="A964" s="7">
        <f t="shared" si="4"/>
        <v>6</v>
      </c>
      <c r="B964" s="7"/>
      <c r="C964" s="7"/>
      <c r="D964" s="7"/>
      <c r="E964" s="7"/>
      <c r="F964" s="9"/>
      <c r="H964" s="10"/>
      <c r="I964" s="10"/>
      <c r="J964" s="10"/>
      <c r="K964" s="10"/>
      <c r="L964" s="10"/>
      <c r="M964" s="10"/>
      <c r="N964" s="10"/>
      <c r="O964" s="7"/>
      <c r="P964" s="7"/>
      <c r="Q964" s="7"/>
      <c r="AB964" s="7"/>
    </row>
    <row r="965" spans="1:28" ht="13" x14ac:dyDescent="0.15">
      <c r="A965" s="7">
        <f t="shared" si="4"/>
        <v>6</v>
      </c>
      <c r="B965" s="7"/>
      <c r="C965" s="7"/>
      <c r="D965" s="7"/>
      <c r="E965" s="7"/>
      <c r="F965" s="9"/>
      <c r="H965" s="10"/>
      <c r="I965" s="10"/>
      <c r="J965" s="10"/>
      <c r="K965" s="10"/>
      <c r="L965" s="10"/>
      <c r="M965" s="10"/>
      <c r="N965" s="10"/>
      <c r="O965" s="7"/>
      <c r="P965" s="7"/>
      <c r="Q965" s="7"/>
      <c r="AB965" s="7"/>
    </row>
    <row r="966" spans="1:28" ht="13" x14ac:dyDescent="0.15">
      <c r="A966" s="7">
        <f t="shared" si="4"/>
        <v>6</v>
      </c>
      <c r="B966" s="7"/>
      <c r="C966" s="7"/>
      <c r="D966" s="7"/>
      <c r="E966" s="7"/>
      <c r="F966" s="9"/>
      <c r="H966" s="10"/>
      <c r="I966" s="10"/>
      <c r="J966" s="10"/>
      <c r="K966" s="10"/>
      <c r="L966" s="10"/>
      <c r="M966" s="10"/>
      <c r="N966" s="10"/>
      <c r="O966" s="7"/>
      <c r="P966" s="7"/>
      <c r="Q966" s="7"/>
      <c r="AB966" s="7"/>
    </row>
    <row r="967" spans="1:28" ht="13" x14ac:dyDescent="0.15">
      <c r="A967" s="7">
        <f t="shared" si="4"/>
        <v>6</v>
      </c>
      <c r="B967" s="7"/>
      <c r="C967" s="7"/>
      <c r="D967" s="7"/>
      <c r="E967" s="7"/>
      <c r="F967" s="9"/>
      <c r="H967" s="10"/>
      <c r="I967" s="10"/>
      <c r="J967" s="10"/>
      <c r="K967" s="10"/>
      <c r="L967" s="10"/>
      <c r="M967" s="10"/>
      <c r="N967" s="10"/>
      <c r="O967" s="7"/>
      <c r="P967" s="7"/>
      <c r="Q967" s="7"/>
      <c r="AB967" s="7"/>
    </row>
    <row r="968" spans="1:28" ht="13" x14ac:dyDescent="0.15">
      <c r="A968" s="7">
        <f t="shared" si="4"/>
        <v>6</v>
      </c>
      <c r="B968" s="7"/>
      <c r="C968" s="7"/>
      <c r="D968" s="7"/>
      <c r="E968" s="7"/>
      <c r="F968" s="9"/>
      <c r="H968" s="10"/>
      <c r="I968" s="10"/>
      <c r="J968" s="10"/>
      <c r="K968" s="10"/>
      <c r="L968" s="10"/>
      <c r="M968" s="10"/>
      <c r="N968" s="10"/>
      <c r="O968" s="7"/>
      <c r="P968" s="7"/>
      <c r="Q968" s="7"/>
      <c r="AB968" s="7"/>
    </row>
    <row r="969" spans="1:28" ht="13" x14ac:dyDescent="0.15">
      <c r="A969" s="7">
        <f t="shared" si="4"/>
        <v>6</v>
      </c>
      <c r="B969" s="7"/>
      <c r="C969" s="7"/>
      <c r="D969" s="7"/>
      <c r="E969" s="7"/>
      <c r="F969" s="9"/>
      <c r="H969" s="10"/>
      <c r="I969" s="10"/>
      <c r="J969" s="10"/>
      <c r="K969" s="10"/>
      <c r="L969" s="10"/>
      <c r="M969" s="10"/>
      <c r="N969" s="10"/>
      <c r="O969" s="7"/>
      <c r="P969" s="7"/>
      <c r="Q969" s="7"/>
      <c r="AB969" s="7"/>
    </row>
    <row r="970" spans="1:28" ht="13" x14ac:dyDescent="0.15">
      <c r="A970" s="7">
        <f t="shared" si="4"/>
        <v>6</v>
      </c>
      <c r="B970" s="7"/>
      <c r="C970" s="7"/>
      <c r="D970" s="7"/>
      <c r="E970" s="7"/>
      <c r="F970" s="9"/>
      <c r="H970" s="10"/>
      <c r="I970" s="10"/>
      <c r="J970" s="10"/>
      <c r="K970" s="10"/>
      <c r="L970" s="10"/>
      <c r="M970" s="10"/>
      <c r="N970" s="10"/>
      <c r="O970" s="7"/>
      <c r="P970" s="7"/>
      <c r="Q970" s="7"/>
      <c r="AB970" s="7"/>
    </row>
    <row r="971" spans="1:28" ht="13" x14ac:dyDescent="0.15">
      <c r="A971" s="7">
        <f t="shared" si="4"/>
        <v>6</v>
      </c>
      <c r="B971" s="7"/>
      <c r="C971" s="7"/>
      <c r="D971" s="7"/>
      <c r="E971" s="7"/>
      <c r="F971" s="9"/>
      <c r="H971" s="10"/>
      <c r="I971" s="10"/>
      <c r="J971" s="10"/>
      <c r="K971" s="10"/>
      <c r="L971" s="10"/>
      <c r="M971" s="10"/>
      <c r="N971" s="10"/>
      <c r="O971" s="7"/>
      <c r="P971" s="7"/>
      <c r="Q971" s="7"/>
      <c r="AB971" s="7"/>
    </row>
    <row r="972" spans="1:28" ht="13" x14ac:dyDescent="0.15">
      <c r="A972" s="7">
        <f t="shared" si="4"/>
        <v>6</v>
      </c>
      <c r="B972" s="7"/>
      <c r="C972" s="7"/>
      <c r="D972" s="7"/>
      <c r="E972" s="7"/>
      <c r="F972" s="9"/>
      <c r="H972" s="10"/>
      <c r="I972" s="10"/>
      <c r="J972" s="10"/>
      <c r="K972" s="10"/>
      <c r="L972" s="10"/>
      <c r="M972" s="10"/>
      <c r="N972" s="10"/>
      <c r="O972" s="7"/>
      <c r="P972" s="7"/>
      <c r="Q972" s="7"/>
      <c r="AB972" s="7"/>
    </row>
    <row r="973" spans="1:28" ht="13" x14ac:dyDescent="0.15">
      <c r="A973" s="7">
        <f t="shared" si="4"/>
        <v>6</v>
      </c>
      <c r="B973" s="7"/>
      <c r="C973" s="7"/>
      <c r="D973" s="7"/>
      <c r="E973" s="7"/>
      <c r="F973" s="9"/>
      <c r="H973" s="10"/>
      <c r="I973" s="10"/>
      <c r="J973" s="10"/>
      <c r="K973" s="10"/>
      <c r="L973" s="10"/>
      <c r="M973" s="10"/>
      <c r="N973" s="10"/>
      <c r="O973" s="7"/>
      <c r="P973" s="7"/>
      <c r="Q973" s="7"/>
      <c r="AB973" s="7"/>
    </row>
    <row r="974" spans="1:28" ht="13" x14ac:dyDescent="0.15">
      <c r="A974" s="7">
        <f t="shared" si="4"/>
        <v>6</v>
      </c>
      <c r="B974" s="7"/>
      <c r="C974" s="7"/>
      <c r="D974" s="7"/>
      <c r="E974" s="7"/>
      <c r="F974" s="9"/>
      <c r="H974" s="10"/>
      <c r="I974" s="10"/>
      <c r="J974" s="10"/>
      <c r="K974" s="10"/>
      <c r="L974" s="10"/>
      <c r="M974" s="10"/>
      <c r="N974" s="10"/>
      <c r="O974" s="7"/>
      <c r="P974" s="7"/>
      <c r="Q974" s="7"/>
      <c r="AB974" s="7"/>
    </row>
    <row r="975" spans="1:28" ht="13" x14ac:dyDescent="0.15">
      <c r="A975" s="7">
        <f t="shared" si="4"/>
        <v>6</v>
      </c>
      <c r="B975" s="7"/>
      <c r="C975" s="7"/>
      <c r="D975" s="7"/>
      <c r="E975" s="7"/>
      <c r="F975" s="9"/>
      <c r="H975" s="10"/>
      <c r="I975" s="10"/>
      <c r="J975" s="10"/>
      <c r="K975" s="10"/>
      <c r="L975" s="10"/>
      <c r="M975" s="10"/>
      <c r="N975" s="10"/>
      <c r="O975" s="7"/>
      <c r="P975" s="7"/>
      <c r="Q975" s="7"/>
      <c r="AB975" s="7"/>
    </row>
    <row r="976" spans="1:28" ht="13" x14ac:dyDescent="0.15">
      <c r="A976" s="7">
        <f t="shared" si="4"/>
        <v>6</v>
      </c>
      <c r="B976" s="7"/>
      <c r="C976" s="7"/>
      <c r="D976" s="7"/>
      <c r="E976" s="7"/>
      <c r="F976" s="9"/>
      <c r="H976" s="10"/>
      <c r="I976" s="10"/>
      <c r="J976" s="10"/>
      <c r="K976" s="10"/>
      <c r="L976" s="10"/>
      <c r="M976" s="10"/>
      <c r="N976" s="10"/>
      <c r="O976" s="7"/>
      <c r="P976" s="7"/>
      <c r="Q976" s="7"/>
      <c r="AB976" s="7"/>
    </row>
    <row r="977" spans="1:28" ht="13" x14ac:dyDescent="0.15">
      <c r="A977" s="7">
        <f t="shared" si="4"/>
        <v>6</v>
      </c>
      <c r="B977" s="7"/>
      <c r="C977" s="7"/>
      <c r="D977" s="7"/>
      <c r="E977" s="7"/>
      <c r="F977" s="9"/>
      <c r="H977" s="10"/>
      <c r="I977" s="10"/>
      <c r="J977" s="10"/>
      <c r="K977" s="10"/>
      <c r="L977" s="10"/>
      <c r="M977" s="10"/>
      <c r="N977" s="10"/>
      <c r="O977" s="7"/>
      <c r="P977" s="7"/>
      <c r="Q977" s="7"/>
      <c r="AB977" s="7"/>
    </row>
    <row r="978" spans="1:28" ht="13" x14ac:dyDescent="0.15">
      <c r="A978" s="7">
        <f t="shared" si="4"/>
        <v>6</v>
      </c>
      <c r="B978" s="7"/>
      <c r="C978" s="7"/>
      <c r="D978" s="7"/>
      <c r="E978" s="7"/>
      <c r="F978" s="9"/>
      <c r="H978" s="10"/>
      <c r="I978" s="10"/>
      <c r="J978" s="10"/>
      <c r="K978" s="10"/>
      <c r="L978" s="10"/>
      <c r="M978" s="10"/>
      <c r="N978" s="10"/>
      <c r="O978" s="7"/>
      <c r="P978" s="7"/>
      <c r="Q978" s="7"/>
      <c r="AB978" s="7"/>
    </row>
    <row r="979" spans="1:28" ht="13" x14ac:dyDescent="0.15">
      <c r="D979" s="7"/>
      <c r="E979" s="7"/>
      <c r="F979" s="9"/>
      <c r="H979" s="10"/>
      <c r="I979" s="10"/>
      <c r="J979" s="10"/>
      <c r="K979" s="10"/>
      <c r="L979" s="10"/>
      <c r="M979" s="10"/>
      <c r="N979" s="10"/>
      <c r="O979" s="7"/>
      <c r="P979" s="7"/>
      <c r="Q979" s="7"/>
      <c r="AB979" s="7"/>
    </row>
    <row r="980" spans="1:28" ht="13" x14ac:dyDescent="0.15">
      <c r="C980" s="7"/>
      <c r="D980" s="7"/>
      <c r="E980" s="7"/>
      <c r="F980" s="9"/>
      <c r="H980" s="10"/>
      <c r="I980" s="10"/>
      <c r="J980" s="10">
        <v>2</v>
      </c>
      <c r="K980" s="10">
        <v>2</v>
      </c>
      <c r="L980" s="10">
        <v>2</v>
      </c>
      <c r="M980" s="10">
        <v>3</v>
      </c>
      <c r="N980" s="10"/>
      <c r="O980" s="7"/>
      <c r="P980" s="7"/>
      <c r="Q980" s="7"/>
      <c r="AB980" s="7"/>
    </row>
    <row r="981" spans="1:28" ht="13" x14ac:dyDescent="0.15">
      <c r="C981" s="7"/>
      <c r="D981" s="7"/>
      <c r="E981" s="7"/>
      <c r="F981" s="9"/>
      <c r="H981" s="10"/>
      <c r="I981" s="10"/>
      <c r="J981" s="10"/>
      <c r="K981" s="10"/>
      <c r="L981" s="10"/>
      <c r="M981" s="10"/>
      <c r="N981" s="10"/>
      <c r="O981" s="7"/>
      <c r="P981" s="7"/>
      <c r="Q981" s="7"/>
      <c r="AB981" s="7"/>
    </row>
    <row r="982" spans="1:28" ht="13" x14ac:dyDescent="0.15">
      <c r="C982" s="7"/>
      <c r="D982" s="7"/>
      <c r="E982" s="7"/>
      <c r="F982" s="9"/>
      <c r="H982" s="10"/>
      <c r="I982" s="10"/>
      <c r="J982" s="10"/>
      <c r="K982" s="10"/>
      <c r="L982" s="10"/>
      <c r="M982" s="10"/>
      <c r="N982" s="10"/>
      <c r="O982" s="7"/>
      <c r="P982" s="7"/>
      <c r="Q982" s="7"/>
      <c r="AB982" s="7"/>
    </row>
    <row r="983" spans="1:28" ht="13" x14ac:dyDescent="0.15">
      <c r="C983" s="7"/>
      <c r="D983" s="7"/>
      <c r="E983" s="7"/>
      <c r="F983" s="9"/>
      <c r="H983" s="10"/>
      <c r="I983" s="10"/>
      <c r="J983" s="10"/>
      <c r="K983" s="10"/>
      <c r="L983" s="10"/>
      <c r="M983" s="10"/>
      <c r="N983" s="10"/>
      <c r="O983" s="7"/>
      <c r="P983" s="7"/>
      <c r="Q983" s="7"/>
      <c r="AB983" s="7"/>
    </row>
    <row r="984" spans="1:28" ht="13" x14ac:dyDescent="0.15">
      <c r="C984" s="7"/>
      <c r="D984" s="7"/>
      <c r="E984" s="7"/>
      <c r="F984" s="9"/>
      <c r="H984" s="10"/>
      <c r="I984" s="10"/>
      <c r="J984" s="10"/>
      <c r="K984" s="10"/>
      <c r="L984" s="10"/>
      <c r="M984" s="10"/>
      <c r="N984" s="10"/>
      <c r="O984" s="7"/>
      <c r="P984" s="7"/>
      <c r="Q984" s="7"/>
      <c r="AB984" s="7"/>
    </row>
    <row r="985" spans="1:28" ht="13" x14ac:dyDescent="0.15">
      <c r="C985" s="7"/>
      <c r="D985" s="7"/>
      <c r="E985" s="7"/>
      <c r="F985" s="9"/>
      <c r="H985" s="10"/>
      <c r="I985" s="10"/>
      <c r="J985" s="10"/>
      <c r="K985" s="10"/>
      <c r="L985" s="10"/>
      <c r="M985" s="10"/>
      <c r="N985" s="10"/>
      <c r="O985" s="7"/>
      <c r="P985" s="7"/>
      <c r="Q985" s="7"/>
      <c r="AB985" s="7"/>
    </row>
    <row r="986" spans="1:28" ht="13" x14ac:dyDescent="0.15">
      <c r="C986" s="7"/>
      <c r="D986" s="7"/>
      <c r="E986" s="7"/>
      <c r="F986" s="9"/>
      <c r="H986" s="10"/>
      <c r="I986" s="10"/>
      <c r="J986" s="10"/>
      <c r="K986" s="10"/>
      <c r="L986" s="10"/>
      <c r="M986" s="10"/>
      <c r="N986" s="10"/>
      <c r="O986" s="7"/>
      <c r="P986" s="7"/>
      <c r="Q986" s="7"/>
      <c r="AB986" s="7"/>
    </row>
    <row r="987" spans="1:28" ht="13" x14ac:dyDescent="0.15">
      <c r="C987" s="7"/>
      <c r="D987" s="7"/>
      <c r="E987" s="7"/>
      <c r="F987" s="9"/>
      <c r="H987" s="10"/>
      <c r="I987" s="10"/>
      <c r="J987" s="10"/>
      <c r="K987" s="10"/>
      <c r="L987" s="10"/>
      <c r="M987" s="10"/>
      <c r="N987" s="10"/>
      <c r="O987" s="7"/>
      <c r="P987" s="7"/>
      <c r="Q987" s="7"/>
      <c r="AB987" s="7"/>
    </row>
    <row r="988" spans="1:28" ht="13" x14ac:dyDescent="0.15">
      <c r="C988" s="7"/>
      <c r="D988" s="7"/>
      <c r="E988" s="7"/>
      <c r="F988" s="9"/>
      <c r="H988" s="10"/>
      <c r="I988" s="10"/>
      <c r="J988" s="10"/>
      <c r="K988" s="10"/>
      <c r="L988" s="10"/>
      <c r="M988" s="10"/>
      <c r="N988" s="10"/>
      <c r="O988" s="7"/>
      <c r="P988" s="7"/>
      <c r="Q988" s="7"/>
      <c r="AB988" s="7"/>
    </row>
    <row r="989" spans="1:28" ht="13" x14ac:dyDescent="0.15">
      <c r="C989" s="7"/>
      <c r="D989" s="7"/>
      <c r="E989" s="7"/>
      <c r="F989" s="9"/>
      <c r="H989" s="10"/>
      <c r="I989" s="10"/>
      <c r="J989" s="10"/>
      <c r="K989" s="10"/>
      <c r="L989" s="10"/>
      <c r="M989" s="10"/>
      <c r="N989" s="10"/>
      <c r="O989" s="7"/>
      <c r="P989" s="7"/>
      <c r="Q989" s="7"/>
      <c r="AB989" s="7"/>
    </row>
    <row r="990" spans="1:28" ht="13" x14ac:dyDescent="0.15">
      <c r="C990" s="7"/>
      <c r="D990" s="7"/>
      <c r="E990" s="7"/>
      <c r="F990" s="9"/>
      <c r="H990" s="10"/>
      <c r="I990" s="10"/>
      <c r="J990" s="10"/>
      <c r="K990" s="10"/>
      <c r="L990" s="10"/>
      <c r="M990" s="10"/>
      <c r="N990" s="10"/>
      <c r="O990" s="7"/>
      <c r="P990" s="7"/>
      <c r="Q990" s="7"/>
      <c r="AB990" s="7"/>
    </row>
    <row r="991" spans="1:28" ht="13" x14ac:dyDescent="0.15">
      <c r="C991" s="7"/>
      <c r="D991" s="7"/>
      <c r="E991" s="7"/>
      <c r="F991" s="9"/>
      <c r="H991" s="10"/>
      <c r="I991" s="10"/>
      <c r="J991" s="10"/>
      <c r="K991" s="10"/>
      <c r="L991" s="10"/>
      <c r="M991" s="10"/>
      <c r="N991" s="10"/>
      <c r="O991" s="7"/>
      <c r="P991" s="7"/>
      <c r="Q991" s="7"/>
      <c r="AB991" s="7"/>
    </row>
    <row r="992" spans="1:28" ht="13" x14ac:dyDescent="0.15">
      <c r="C992" s="7"/>
      <c r="D992" s="7"/>
      <c r="E992" s="7"/>
      <c r="F992" s="9"/>
      <c r="H992" s="10"/>
      <c r="I992" s="10"/>
      <c r="J992" s="10"/>
      <c r="K992" s="10"/>
      <c r="L992" s="10"/>
      <c r="M992" s="10"/>
      <c r="N992" s="10"/>
      <c r="O992" s="7"/>
      <c r="P992" s="7"/>
      <c r="Q992" s="7"/>
      <c r="AB992" s="7"/>
    </row>
    <row r="993" spans="3:28" ht="13" x14ac:dyDescent="0.15">
      <c r="C993" s="7"/>
      <c r="D993" s="7"/>
      <c r="E993" s="7"/>
      <c r="F993" s="9"/>
      <c r="H993" s="10"/>
      <c r="I993" s="10"/>
      <c r="J993" s="10"/>
      <c r="K993" s="10"/>
      <c r="L993" s="10"/>
      <c r="M993" s="10"/>
      <c r="N993" s="10"/>
      <c r="O993" s="7"/>
      <c r="P993" s="7"/>
      <c r="Q993" s="7"/>
      <c r="AB993" s="7"/>
    </row>
    <row r="994" spans="3:28" ht="13" x14ac:dyDescent="0.15">
      <c r="C994" s="7"/>
      <c r="D994" s="7"/>
      <c r="E994" s="7"/>
      <c r="F994" s="9"/>
      <c r="H994" s="10"/>
      <c r="I994" s="10"/>
      <c r="J994" s="10"/>
      <c r="K994" s="10"/>
      <c r="L994" s="10"/>
      <c r="M994" s="10"/>
      <c r="N994" s="10"/>
      <c r="O994" s="7"/>
      <c r="P994" s="7"/>
      <c r="Q994" s="7"/>
      <c r="AB994" s="7"/>
    </row>
    <row r="995" spans="3:28" ht="13" x14ac:dyDescent="0.15">
      <c r="C995" s="7"/>
      <c r="D995" s="7"/>
      <c r="E995" s="7"/>
      <c r="F995" s="9"/>
      <c r="H995" s="10"/>
      <c r="I995" s="10"/>
      <c r="J995" s="10"/>
      <c r="K995" s="10"/>
      <c r="L995" s="10"/>
      <c r="M995" s="10"/>
      <c r="N995" s="10"/>
      <c r="O995" s="7"/>
      <c r="P995" s="7"/>
      <c r="Q995" s="7"/>
      <c r="AB995" s="7"/>
    </row>
    <row r="996" spans="3:28" ht="13" x14ac:dyDescent="0.15">
      <c r="C996" s="7"/>
      <c r="D996" s="7"/>
      <c r="E996" s="7"/>
      <c r="F996" s="9"/>
      <c r="H996" s="10"/>
      <c r="I996" s="10"/>
      <c r="J996" s="10"/>
      <c r="K996" s="10"/>
      <c r="L996" s="10"/>
      <c r="M996" s="10"/>
      <c r="N996" s="10"/>
      <c r="O996" s="7"/>
      <c r="P996" s="7"/>
      <c r="Q996" s="7"/>
      <c r="AB996" s="7"/>
    </row>
    <row r="997" spans="3:28" ht="13" x14ac:dyDescent="0.15">
      <c r="C997" s="7"/>
      <c r="D997" s="7"/>
      <c r="E997" s="7"/>
      <c r="F997" s="9"/>
      <c r="H997" s="10"/>
      <c r="I997" s="10"/>
      <c r="J997" s="10"/>
      <c r="K997" s="10"/>
      <c r="L997" s="10"/>
      <c r="M997" s="10"/>
      <c r="N997" s="10"/>
      <c r="O997" s="7"/>
      <c r="P997" s="7"/>
      <c r="Q997" s="7"/>
      <c r="AB997" s="7"/>
    </row>
    <row r="998" spans="3:28" ht="13" x14ac:dyDescent="0.15">
      <c r="C998" s="7"/>
      <c r="D998" s="7"/>
      <c r="E998" s="7"/>
      <c r="F998" s="9"/>
      <c r="H998" s="10"/>
      <c r="I998" s="10"/>
      <c r="J998" s="10"/>
      <c r="K998" s="10"/>
      <c r="L998" s="10"/>
      <c r="M998" s="10"/>
      <c r="N998" s="10"/>
      <c r="O998" s="7"/>
      <c r="P998" s="7"/>
      <c r="Q998" s="7"/>
      <c r="AB998" s="7"/>
    </row>
    <row r="999" spans="3:28" ht="13" x14ac:dyDescent="0.15">
      <c r="C999" s="7"/>
      <c r="D999" s="7"/>
      <c r="E999" s="7"/>
      <c r="F999" s="9"/>
      <c r="H999" s="10"/>
      <c r="I999" s="10"/>
      <c r="J999" s="10"/>
      <c r="K999" s="10"/>
      <c r="L999" s="10"/>
      <c r="M999" s="10"/>
      <c r="N999" s="10"/>
      <c r="O999" s="7"/>
      <c r="P999" s="7"/>
      <c r="Q999" s="7"/>
      <c r="AB999" s="7"/>
    </row>
    <row r="1000" spans="3:28" ht="13" x14ac:dyDescent="0.15">
      <c r="C1000" s="7"/>
      <c r="D1000" s="7"/>
      <c r="E1000" s="7"/>
      <c r="F1000" s="9"/>
      <c r="H1000" s="10"/>
      <c r="I1000" s="10"/>
      <c r="J1000" s="10"/>
      <c r="K1000" s="10"/>
      <c r="L1000" s="10"/>
      <c r="M1000" s="10"/>
      <c r="N1000" s="10"/>
      <c r="O1000" s="7"/>
      <c r="P1000" s="7"/>
      <c r="Q1000" s="7"/>
      <c r="AB1000" s="7"/>
    </row>
    <row r="1001" spans="3:28" ht="13" x14ac:dyDescent="0.15">
      <c r="C1001" s="7"/>
      <c r="D1001" s="7"/>
      <c r="E1001" s="7"/>
      <c r="F1001" s="9"/>
      <c r="H1001" s="10"/>
      <c r="I1001" s="10"/>
      <c r="J1001" s="10"/>
      <c r="K1001" s="10"/>
      <c r="L1001" s="10"/>
      <c r="M1001" s="10"/>
      <c r="N1001" s="10"/>
      <c r="O1001" s="7"/>
      <c r="P1001" s="7"/>
      <c r="Q1001" s="7"/>
      <c r="AB1001" s="7"/>
    </row>
    <row r="1002" spans="3:28" ht="13" x14ac:dyDescent="0.15">
      <c r="C1002" s="7"/>
      <c r="D1002" s="7"/>
      <c r="E1002" s="7"/>
      <c r="F1002" s="9"/>
      <c r="H1002" s="10"/>
      <c r="I1002" s="10"/>
      <c r="J1002" s="10"/>
      <c r="K1002" s="10"/>
      <c r="L1002" s="10"/>
      <c r="M1002" s="10"/>
      <c r="N1002" s="10"/>
      <c r="O1002" s="7"/>
      <c r="P1002" s="7"/>
      <c r="Q1002" s="7"/>
      <c r="AB1002" s="7"/>
    </row>
    <row r="1003" spans="3:28" ht="13" x14ac:dyDescent="0.15">
      <c r="C1003" s="7"/>
      <c r="D1003" s="7"/>
      <c r="E1003" s="7"/>
      <c r="F1003" s="9"/>
      <c r="H1003" s="10"/>
      <c r="I1003" s="10"/>
      <c r="J1003" s="10"/>
      <c r="K1003" s="10"/>
      <c r="L1003" s="10"/>
      <c r="M1003" s="10"/>
      <c r="N1003" s="10"/>
      <c r="O1003" s="7"/>
      <c r="P1003" s="7"/>
      <c r="Q1003" s="7"/>
      <c r="AB1003" s="7"/>
    </row>
    <row r="1004" spans="3:28" ht="13" x14ac:dyDescent="0.15">
      <c r="C1004" s="7"/>
      <c r="D1004" s="7"/>
      <c r="E1004" s="7"/>
      <c r="F1004" s="9"/>
      <c r="H1004" s="10"/>
      <c r="I1004" s="10"/>
      <c r="J1004" s="10"/>
      <c r="K1004" s="10"/>
      <c r="L1004" s="10"/>
      <c r="M1004" s="10"/>
      <c r="N1004" s="10"/>
      <c r="O1004" s="7"/>
      <c r="P1004" s="7"/>
      <c r="Q1004" s="7"/>
      <c r="AB1004" s="7"/>
    </row>
    <row r="1005" spans="3:28" ht="13" x14ac:dyDescent="0.15">
      <c r="C1005" s="7"/>
      <c r="D1005" s="7"/>
      <c r="E1005" s="7"/>
      <c r="F1005" s="9"/>
      <c r="H1005" s="10"/>
      <c r="I1005" s="10"/>
      <c r="J1005" s="10"/>
      <c r="K1005" s="10"/>
      <c r="L1005" s="10"/>
      <c r="M1005" s="10"/>
      <c r="N1005" s="10"/>
      <c r="O1005" s="7"/>
      <c r="P1005" s="7"/>
      <c r="Q1005" s="7"/>
      <c r="AB1005" s="7"/>
    </row>
    <row r="1006" spans="3:28" ht="13" x14ac:dyDescent="0.15">
      <c r="C1006" s="7"/>
      <c r="D1006" s="7"/>
      <c r="E1006" s="7"/>
      <c r="F1006" s="9"/>
      <c r="H1006" s="10"/>
      <c r="I1006" s="10"/>
      <c r="J1006" s="10"/>
      <c r="K1006" s="10"/>
      <c r="L1006" s="10"/>
      <c r="M1006" s="10"/>
      <c r="N1006" s="10"/>
      <c r="O1006" s="7"/>
      <c r="P1006" s="7"/>
      <c r="Q1006" s="7"/>
      <c r="AB1006" s="7"/>
    </row>
    <row r="1007" spans="3:28" ht="13" x14ac:dyDescent="0.15">
      <c r="C1007" s="7"/>
      <c r="D1007" s="7"/>
      <c r="E1007" s="7"/>
      <c r="F1007" s="9"/>
      <c r="H1007" s="10"/>
      <c r="I1007" s="10"/>
      <c r="J1007" s="10"/>
      <c r="K1007" s="10"/>
      <c r="L1007" s="10"/>
      <c r="M1007" s="10"/>
      <c r="N1007" s="10"/>
      <c r="O1007" s="7"/>
      <c r="P1007" s="7"/>
      <c r="Q1007" s="7"/>
      <c r="AB1007" s="7"/>
    </row>
    <row r="1008" spans="3:28" ht="13" x14ac:dyDescent="0.15">
      <c r="C1008" s="7"/>
      <c r="D1008" s="7"/>
      <c r="E1008" s="7"/>
      <c r="F1008" s="9"/>
      <c r="H1008" s="10"/>
      <c r="I1008" s="10"/>
      <c r="J1008" s="10"/>
      <c r="K1008" s="10"/>
      <c r="L1008" s="10"/>
      <c r="M1008" s="10"/>
      <c r="N1008" s="10"/>
      <c r="O1008" s="7"/>
      <c r="P1008" s="7"/>
      <c r="Q1008" s="7"/>
      <c r="AB1008" s="7"/>
    </row>
    <row r="1009" spans="3:28" ht="13" x14ac:dyDescent="0.15">
      <c r="C1009" s="7"/>
      <c r="D1009" s="7"/>
      <c r="E1009" s="7"/>
      <c r="F1009" s="9"/>
      <c r="H1009" s="10"/>
      <c r="I1009" s="10"/>
      <c r="J1009" s="10"/>
      <c r="K1009" s="10"/>
      <c r="L1009" s="10"/>
      <c r="M1009" s="10"/>
      <c r="N1009" s="10"/>
      <c r="O1009" s="7"/>
      <c r="P1009" s="7"/>
      <c r="Q1009" s="7"/>
      <c r="AB1009" s="7"/>
    </row>
    <row r="1010" spans="3:28" ht="13" x14ac:dyDescent="0.15">
      <c r="C1010" s="7"/>
      <c r="D1010" s="7"/>
      <c r="E1010" s="7"/>
      <c r="F1010" s="9"/>
      <c r="H1010" s="10"/>
      <c r="I1010" s="10"/>
      <c r="J1010" s="10"/>
      <c r="K1010" s="10"/>
      <c r="L1010" s="10"/>
      <c r="M1010" s="10"/>
      <c r="N1010" s="10"/>
      <c r="O1010" s="7"/>
      <c r="P1010" s="7"/>
      <c r="Q1010" s="7"/>
      <c r="AB1010" s="7"/>
    </row>
    <row r="1011" spans="3:28" ht="13" x14ac:dyDescent="0.15">
      <c r="C1011" s="7"/>
      <c r="D1011" s="7"/>
      <c r="E1011" s="7"/>
      <c r="F1011" s="9"/>
      <c r="H1011" s="10"/>
      <c r="I1011" s="10"/>
      <c r="J1011" s="10"/>
      <c r="K1011" s="10"/>
      <c r="L1011" s="10"/>
      <c r="M1011" s="10"/>
      <c r="N1011" s="10"/>
      <c r="O1011" s="7"/>
      <c r="P1011" s="7"/>
      <c r="Q1011" s="7"/>
      <c r="AB1011" s="7"/>
    </row>
    <row r="1012" spans="3:28" ht="13" x14ac:dyDescent="0.15">
      <c r="C1012" s="7"/>
      <c r="D1012" s="7"/>
      <c r="E1012" s="7"/>
      <c r="F1012" s="9"/>
      <c r="H1012" s="10"/>
      <c r="I1012" s="10"/>
      <c r="J1012" s="10"/>
      <c r="K1012" s="10"/>
      <c r="L1012" s="10"/>
      <c r="M1012" s="10"/>
      <c r="N1012" s="10"/>
      <c r="O1012" s="7"/>
      <c r="P1012" s="7"/>
      <c r="Q1012" s="7"/>
      <c r="AB1012" s="7"/>
    </row>
    <row r="1013" spans="3:28" ht="13" x14ac:dyDescent="0.15">
      <c r="C1013" s="7"/>
      <c r="D1013" s="7"/>
      <c r="E1013" s="7"/>
      <c r="F1013" s="9"/>
      <c r="H1013" s="10"/>
      <c r="I1013" s="10"/>
      <c r="J1013" s="10"/>
      <c r="K1013" s="10"/>
      <c r="L1013" s="10"/>
      <c r="M1013" s="10"/>
      <c r="N1013" s="10"/>
      <c r="O1013" s="7"/>
      <c r="P1013" s="7"/>
      <c r="Q1013" s="7"/>
      <c r="AB1013" s="7"/>
    </row>
    <row r="1014" spans="3:28" ht="13" x14ac:dyDescent="0.15">
      <c r="C1014" s="7"/>
      <c r="D1014" s="7"/>
      <c r="E1014" s="7"/>
      <c r="F1014" s="9"/>
      <c r="H1014" s="10"/>
      <c r="I1014" s="10"/>
      <c r="J1014" s="10"/>
      <c r="K1014" s="10"/>
      <c r="L1014" s="10"/>
      <c r="M1014" s="10"/>
      <c r="N1014" s="10"/>
      <c r="O1014" s="7"/>
      <c r="P1014" s="7"/>
      <c r="Q1014" s="7"/>
      <c r="AB1014" s="7"/>
    </row>
    <row r="1015" spans="3:28" ht="13" x14ac:dyDescent="0.15">
      <c r="C1015" s="7"/>
      <c r="D1015" s="7"/>
      <c r="E1015" s="7"/>
      <c r="F1015" s="9"/>
      <c r="H1015" s="10"/>
      <c r="I1015" s="10"/>
      <c r="J1015" s="10"/>
      <c r="K1015" s="10"/>
      <c r="L1015" s="10"/>
      <c r="M1015" s="10"/>
      <c r="N1015" s="10"/>
      <c r="O1015" s="7"/>
      <c r="P1015" s="7"/>
      <c r="Q1015" s="7"/>
      <c r="AB1015" s="7"/>
    </row>
    <row r="1016" spans="3:28" ht="13" x14ac:dyDescent="0.15">
      <c r="C1016" s="7"/>
      <c r="D1016" s="7"/>
      <c r="E1016" s="7"/>
      <c r="F1016" s="9"/>
      <c r="H1016" s="10"/>
      <c r="I1016" s="10"/>
      <c r="J1016" s="10"/>
      <c r="K1016" s="10"/>
      <c r="L1016" s="10"/>
      <c r="M1016" s="10"/>
      <c r="N1016" s="10"/>
      <c r="O1016" s="7"/>
      <c r="P1016" s="7"/>
      <c r="Q1016" s="7"/>
      <c r="AB1016" s="7"/>
    </row>
    <row r="1017" spans="3:28" ht="13" x14ac:dyDescent="0.15">
      <c r="C1017" s="7"/>
      <c r="D1017" s="7"/>
      <c r="E1017" s="7"/>
      <c r="F1017" s="9"/>
      <c r="H1017" s="10"/>
      <c r="I1017" s="10"/>
      <c r="J1017" s="10"/>
      <c r="K1017" s="10"/>
      <c r="L1017" s="10"/>
      <c r="M1017" s="10"/>
      <c r="N1017" s="10"/>
      <c r="O1017" s="7"/>
      <c r="P1017" s="7"/>
      <c r="Q1017" s="7"/>
      <c r="AB1017" s="7"/>
    </row>
    <row r="1018" spans="3:28" ht="13" x14ac:dyDescent="0.15">
      <c r="C1018" s="7"/>
      <c r="D1018" s="7"/>
      <c r="E1018" s="7"/>
      <c r="F1018" s="9"/>
      <c r="H1018" s="10"/>
      <c r="I1018" s="10"/>
      <c r="J1018" s="10"/>
      <c r="K1018" s="10"/>
      <c r="L1018" s="10"/>
      <c r="M1018" s="10"/>
      <c r="N1018" s="10"/>
      <c r="O1018" s="7"/>
      <c r="P1018" s="7"/>
      <c r="Q1018" s="7"/>
      <c r="AB1018" s="7"/>
    </row>
    <row r="1019" spans="3:28" ht="13" x14ac:dyDescent="0.15">
      <c r="C1019" s="7"/>
      <c r="D1019" s="7"/>
      <c r="E1019" s="7"/>
      <c r="F1019" s="9"/>
      <c r="H1019" s="10"/>
      <c r="I1019" s="10"/>
      <c r="J1019" s="10"/>
      <c r="K1019" s="10"/>
      <c r="L1019" s="10"/>
      <c r="M1019" s="10"/>
      <c r="N1019" s="10"/>
      <c r="O1019" s="7"/>
      <c r="P1019" s="7"/>
      <c r="Q1019" s="7"/>
      <c r="AB1019" s="7"/>
    </row>
    <row r="1020" spans="3:28" ht="13" x14ac:dyDescent="0.15">
      <c r="C1020" s="7"/>
      <c r="D1020" s="7"/>
      <c r="E1020" s="7"/>
      <c r="F1020" s="9"/>
      <c r="H1020" s="10"/>
      <c r="I1020" s="10"/>
      <c r="J1020" s="10"/>
      <c r="K1020" s="10"/>
      <c r="L1020" s="10"/>
      <c r="M1020" s="10"/>
      <c r="N1020" s="10"/>
      <c r="O1020" s="7"/>
      <c r="P1020" s="7"/>
      <c r="Q1020" s="7"/>
      <c r="AB1020" s="7"/>
    </row>
    <row r="1021" spans="3:28" ht="13" x14ac:dyDescent="0.15">
      <c r="C1021" s="7"/>
      <c r="D1021" s="7"/>
      <c r="E1021" s="7"/>
      <c r="F1021" s="9"/>
      <c r="H1021" s="10"/>
      <c r="I1021" s="10"/>
      <c r="J1021" s="10"/>
      <c r="K1021" s="10"/>
      <c r="L1021" s="10"/>
      <c r="M1021" s="10"/>
      <c r="N1021" s="10"/>
      <c r="O1021" s="7"/>
      <c r="P1021" s="7"/>
      <c r="Q1021" s="7"/>
      <c r="AB1021" s="7"/>
    </row>
    <row r="1022" spans="3:28" ht="13" x14ac:dyDescent="0.15">
      <c r="C1022" s="7"/>
      <c r="D1022" s="7"/>
      <c r="E1022" s="7"/>
      <c r="F1022" s="9"/>
      <c r="H1022" s="10"/>
      <c r="I1022" s="10"/>
      <c r="J1022" s="10"/>
      <c r="K1022" s="10"/>
      <c r="L1022" s="10"/>
      <c r="M1022" s="10"/>
      <c r="N1022" s="10"/>
      <c r="O1022" s="7"/>
      <c r="P1022" s="7"/>
      <c r="Q1022" s="7"/>
      <c r="AB1022" s="7"/>
    </row>
    <row r="1023" spans="3:28" ht="13" x14ac:dyDescent="0.15">
      <c r="C1023" s="7"/>
      <c r="D1023" s="7"/>
      <c r="E1023" s="7"/>
      <c r="F1023" s="9"/>
      <c r="H1023" s="10"/>
      <c r="I1023" s="10"/>
      <c r="J1023" s="10"/>
      <c r="K1023" s="10"/>
      <c r="L1023" s="10"/>
      <c r="M1023" s="10"/>
      <c r="N1023" s="10"/>
      <c r="O1023" s="7"/>
      <c r="P1023" s="7"/>
      <c r="Q1023" s="7"/>
      <c r="AB1023" s="7"/>
    </row>
    <row r="1024" spans="3:28" ht="13" x14ac:dyDescent="0.15">
      <c r="C1024" s="7"/>
      <c r="D1024" s="7"/>
      <c r="E1024" s="7"/>
      <c r="F1024" s="9"/>
      <c r="H1024" s="10"/>
      <c r="I1024" s="10"/>
      <c r="J1024" s="10"/>
      <c r="K1024" s="10"/>
      <c r="L1024" s="10"/>
      <c r="M1024" s="10"/>
      <c r="N1024" s="10"/>
      <c r="O1024" s="7"/>
      <c r="P1024" s="7"/>
      <c r="Q1024" s="7"/>
      <c r="AB1024" s="7"/>
    </row>
    <row r="1025" spans="3:28" ht="13" x14ac:dyDescent="0.15">
      <c r="C1025" s="7"/>
      <c r="D1025" s="7"/>
      <c r="E1025" s="7"/>
      <c r="F1025" s="9"/>
      <c r="H1025" s="10"/>
      <c r="I1025" s="10"/>
      <c r="J1025" s="10"/>
      <c r="K1025" s="10"/>
      <c r="L1025" s="10"/>
      <c r="M1025" s="10"/>
      <c r="N1025" s="10"/>
      <c r="O1025" s="7"/>
      <c r="P1025" s="7"/>
      <c r="Q1025" s="7"/>
      <c r="AB1025" s="7"/>
    </row>
    <row r="1026" spans="3:28" ht="13" x14ac:dyDescent="0.15">
      <c r="C1026" s="7"/>
      <c r="D1026" s="7"/>
      <c r="E1026" s="7"/>
      <c r="F1026" s="9"/>
      <c r="H1026" s="10"/>
      <c r="I1026" s="10"/>
      <c r="J1026" s="10"/>
      <c r="K1026" s="10"/>
      <c r="L1026" s="10"/>
      <c r="M1026" s="10"/>
      <c r="N1026" s="10"/>
      <c r="O1026" s="7"/>
      <c r="P1026" s="7"/>
      <c r="Q1026" s="7"/>
      <c r="AB1026" s="7"/>
    </row>
    <row r="1027" spans="3:28" ht="13" x14ac:dyDescent="0.15">
      <c r="C1027" s="7"/>
      <c r="D1027" s="7"/>
      <c r="E1027" s="7"/>
      <c r="F1027" s="9"/>
      <c r="H1027" s="10"/>
      <c r="I1027" s="10"/>
      <c r="J1027" s="10"/>
      <c r="K1027" s="10"/>
      <c r="L1027" s="10"/>
      <c r="M1027" s="10"/>
      <c r="N1027" s="10"/>
      <c r="O1027" s="7"/>
      <c r="P1027" s="7"/>
      <c r="Q1027" s="7"/>
      <c r="AB1027" s="7"/>
    </row>
    <row r="1028" spans="3:28" ht="13" x14ac:dyDescent="0.15">
      <c r="C1028" s="7"/>
      <c r="D1028" s="7"/>
      <c r="E1028" s="7"/>
      <c r="F1028" s="9"/>
      <c r="H1028" s="10"/>
      <c r="I1028" s="10"/>
      <c r="J1028" s="10"/>
      <c r="K1028" s="10"/>
      <c r="L1028" s="10"/>
      <c r="M1028" s="10"/>
      <c r="N1028" s="10"/>
      <c r="O1028" s="7"/>
      <c r="P1028" s="7"/>
      <c r="Q1028" s="7"/>
      <c r="AB1028" s="7"/>
    </row>
    <row r="1029" spans="3:28" ht="13" x14ac:dyDescent="0.15">
      <c r="C1029" s="7"/>
      <c r="D1029" s="7"/>
      <c r="E1029" s="7"/>
      <c r="F1029" s="9"/>
      <c r="H1029" s="10"/>
      <c r="I1029" s="10"/>
      <c r="J1029" s="10"/>
      <c r="K1029" s="10"/>
      <c r="L1029" s="10"/>
      <c r="M1029" s="10"/>
      <c r="N1029" s="10"/>
      <c r="O1029" s="7"/>
      <c r="P1029" s="7"/>
      <c r="Q1029" s="7"/>
      <c r="AB1029" s="7"/>
    </row>
    <row r="1030" spans="3:28" ht="13" x14ac:dyDescent="0.15">
      <c r="C1030" s="7"/>
      <c r="D1030" s="7"/>
      <c r="E1030" s="7"/>
      <c r="F1030" s="9"/>
      <c r="H1030" s="10"/>
      <c r="I1030" s="10"/>
      <c r="J1030" s="10"/>
      <c r="K1030" s="10"/>
      <c r="L1030" s="10"/>
      <c r="M1030" s="10"/>
      <c r="N1030" s="10"/>
      <c r="O1030" s="7"/>
      <c r="P1030" s="7"/>
      <c r="Q1030" s="7"/>
      <c r="AB1030" s="7"/>
    </row>
    <row r="1031" spans="3:28" ht="13" x14ac:dyDescent="0.15">
      <c r="C1031" s="7"/>
      <c r="D1031" s="7"/>
      <c r="E1031" s="7"/>
      <c r="F1031" s="9"/>
      <c r="H1031" s="10"/>
      <c r="I1031" s="10"/>
      <c r="J1031" s="10"/>
      <c r="K1031" s="10"/>
      <c r="L1031" s="10"/>
      <c r="M1031" s="10"/>
      <c r="N1031" s="10"/>
      <c r="O1031" s="7"/>
      <c r="P1031" s="7"/>
      <c r="Q1031" s="7"/>
      <c r="AB1031" s="7"/>
    </row>
    <row r="1032" spans="3:28" ht="13" x14ac:dyDescent="0.15">
      <c r="C1032" s="7"/>
      <c r="D1032" s="7"/>
      <c r="E1032" s="7"/>
      <c r="F1032" s="9"/>
      <c r="H1032" s="10"/>
      <c r="I1032" s="10"/>
      <c r="J1032" s="10"/>
      <c r="K1032" s="10"/>
      <c r="L1032" s="10"/>
      <c r="M1032" s="10"/>
      <c r="N1032" s="10"/>
      <c r="O1032" s="7"/>
      <c r="P1032" s="7"/>
      <c r="Q1032" s="7"/>
      <c r="AB1032" s="7"/>
    </row>
    <row r="1033" spans="3:28" ht="13" x14ac:dyDescent="0.15">
      <c r="C1033" s="7"/>
      <c r="D1033" s="7"/>
      <c r="E1033" s="7"/>
      <c r="F1033" s="9"/>
      <c r="H1033" s="10"/>
      <c r="I1033" s="10"/>
      <c r="J1033" s="10"/>
      <c r="K1033" s="10"/>
      <c r="L1033" s="10"/>
      <c r="M1033" s="10"/>
      <c r="N1033" s="10"/>
      <c r="O1033" s="7"/>
      <c r="P1033" s="7"/>
      <c r="Q1033" s="7"/>
      <c r="AB1033" s="7"/>
    </row>
    <row r="1034" spans="3:28" ht="13" x14ac:dyDescent="0.15">
      <c r="C1034" s="7"/>
      <c r="D1034" s="7"/>
      <c r="E1034" s="7"/>
      <c r="F1034" s="9"/>
      <c r="H1034" s="10"/>
      <c r="I1034" s="10"/>
      <c r="J1034" s="10"/>
      <c r="K1034" s="10"/>
      <c r="L1034" s="10"/>
      <c r="M1034" s="10"/>
      <c r="N1034" s="10"/>
      <c r="O1034" s="7"/>
      <c r="P1034" s="7"/>
      <c r="Q1034" s="7"/>
      <c r="AB1034" s="7"/>
    </row>
    <row r="1035" spans="3:28" ht="13" x14ac:dyDescent="0.15">
      <c r="C1035" s="7"/>
      <c r="D1035" s="7"/>
      <c r="E1035" s="7"/>
      <c r="F1035" s="9"/>
      <c r="H1035" s="10"/>
      <c r="I1035" s="10"/>
      <c r="J1035" s="10"/>
      <c r="K1035" s="10"/>
      <c r="L1035" s="10"/>
      <c r="M1035" s="10"/>
      <c r="N1035" s="10"/>
      <c r="O1035" s="7"/>
      <c r="P1035" s="7"/>
      <c r="Q1035" s="7"/>
      <c r="AB1035" s="7"/>
    </row>
    <row r="1036" spans="3:28" ht="13" x14ac:dyDescent="0.15">
      <c r="C1036" s="7"/>
      <c r="D1036" s="7"/>
      <c r="E1036" s="7"/>
      <c r="F1036" s="9"/>
      <c r="H1036" s="10"/>
      <c r="I1036" s="10"/>
      <c r="J1036" s="10"/>
      <c r="K1036" s="10"/>
      <c r="L1036" s="10"/>
      <c r="M1036" s="10"/>
      <c r="N1036" s="10"/>
      <c r="O1036" s="7"/>
      <c r="P1036" s="7"/>
      <c r="Q1036" s="7"/>
      <c r="AB1036" s="7"/>
    </row>
    <row r="1037" spans="3:28" ht="13" x14ac:dyDescent="0.15">
      <c r="C1037" s="7"/>
      <c r="D1037" s="7"/>
      <c r="E1037" s="7"/>
      <c r="F1037" s="9"/>
      <c r="H1037" s="10"/>
      <c r="I1037" s="10"/>
      <c r="J1037" s="10"/>
      <c r="K1037" s="10"/>
      <c r="L1037" s="10"/>
      <c r="M1037" s="10"/>
      <c r="N1037" s="10"/>
      <c r="O1037" s="7"/>
      <c r="P1037" s="7"/>
      <c r="Q1037" s="7"/>
      <c r="AB1037" s="7"/>
    </row>
    <row r="1038" spans="3:28" ht="13" x14ac:dyDescent="0.15">
      <c r="C1038" s="7"/>
      <c r="D1038" s="7"/>
      <c r="E1038" s="7"/>
      <c r="F1038" s="9"/>
      <c r="H1038" s="10"/>
      <c r="I1038" s="10"/>
      <c r="J1038" s="10"/>
      <c r="K1038" s="10"/>
      <c r="L1038" s="10"/>
      <c r="M1038" s="10"/>
      <c r="N1038" s="10"/>
      <c r="O1038" s="7"/>
      <c r="P1038" s="7"/>
      <c r="Q1038" s="7"/>
      <c r="AB1038" s="7"/>
    </row>
    <row r="1039" spans="3:28" ht="13" x14ac:dyDescent="0.15">
      <c r="C1039" s="7"/>
      <c r="D1039" s="7"/>
      <c r="E1039" s="7"/>
      <c r="F1039" s="9"/>
      <c r="H1039" s="10"/>
      <c r="I1039" s="10"/>
      <c r="J1039" s="10"/>
      <c r="K1039" s="10"/>
      <c r="L1039" s="10"/>
      <c r="M1039" s="10"/>
      <c r="N1039" s="10"/>
      <c r="O1039" s="7"/>
      <c r="P1039" s="7"/>
      <c r="Q1039" s="7"/>
      <c r="AB1039" s="7"/>
    </row>
    <row r="1040" spans="3:28" ht="13" x14ac:dyDescent="0.15">
      <c r="C1040" s="7"/>
      <c r="D1040" s="7"/>
      <c r="E1040" s="7"/>
      <c r="F1040" s="9"/>
      <c r="H1040" s="10"/>
      <c r="I1040" s="10"/>
      <c r="J1040" s="10"/>
      <c r="K1040" s="10"/>
      <c r="L1040" s="10"/>
      <c r="M1040" s="10"/>
      <c r="N1040" s="10"/>
      <c r="O1040" s="7"/>
      <c r="P1040" s="7"/>
      <c r="Q1040" s="7"/>
      <c r="AB1040" s="7"/>
    </row>
    <row r="1041" spans="3:28" ht="13" x14ac:dyDescent="0.15">
      <c r="C1041" s="7"/>
      <c r="D1041" s="7"/>
      <c r="E1041" s="7"/>
      <c r="F1041" s="9"/>
      <c r="H1041" s="10"/>
      <c r="I1041" s="10"/>
      <c r="J1041" s="10"/>
      <c r="K1041" s="10"/>
      <c r="L1041" s="10"/>
      <c r="M1041" s="10"/>
      <c r="N1041" s="10"/>
      <c r="O1041" s="7"/>
      <c r="P1041" s="7"/>
      <c r="Q1041" s="7"/>
      <c r="AB1041" s="7"/>
    </row>
    <row r="1042" spans="3:28" ht="13" x14ac:dyDescent="0.15">
      <c r="C1042" s="7"/>
      <c r="D1042" s="7"/>
      <c r="E1042" s="7"/>
      <c r="F1042" s="9"/>
      <c r="H1042" s="10"/>
      <c r="I1042" s="10"/>
      <c r="J1042" s="10"/>
      <c r="K1042" s="10"/>
      <c r="L1042" s="10"/>
      <c r="M1042" s="10"/>
      <c r="N1042" s="10"/>
      <c r="O1042" s="7"/>
      <c r="P1042" s="7"/>
      <c r="Q1042" s="7"/>
      <c r="AB1042" s="7"/>
    </row>
    <row r="1043" spans="3:28" ht="13" x14ac:dyDescent="0.15">
      <c r="C1043" s="7"/>
      <c r="D1043" s="7"/>
      <c r="E1043" s="7"/>
      <c r="F1043" s="9"/>
      <c r="H1043" s="10"/>
      <c r="I1043" s="10"/>
      <c r="J1043" s="10"/>
      <c r="K1043" s="10"/>
      <c r="L1043" s="10"/>
      <c r="M1043" s="10"/>
      <c r="N1043" s="10"/>
      <c r="O1043" s="7"/>
      <c r="P1043" s="7"/>
      <c r="Q1043" s="7"/>
      <c r="AB1043" s="7"/>
    </row>
    <row r="1044" spans="3:28" ht="13" x14ac:dyDescent="0.15">
      <c r="C1044" s="7"/>
      <c r="D1044" s="7"/>
      <c r="E1044" s="7"/>
      <c r="F1044" s="9"/>
      <c r="H1044" s="10"/>
      <c r="I1044" s="10"/>
      <c r="J1044" s="10"/>
      <c r="K1044" s="10"/>
      <c r="L1044" s="10"/>
      <c r="M1044" s="10"/>
      <c r="N1044" s="10"/>
      <c r="O1044" s="7"/>
      <c r="P1044" s="7"/>
      <c r="Q1044" s="7"/>
      <c r="AB1044" s="7"/>
    </row>
    <row r="1045" spans="3:28" ht="13" x14ac:dyDescent="0.15">
      <c r="C1045" s="7"/>
      <c r="D1045" s="7"/>
      <c r="E1045" s="7"/>
      <c r="F1045" s="9"/>
      <c r="H1045" s="10"/>
      <c r="I1045" s="10"/>
      <c r="J1045" s="10"/>
      <c r="K1045" s="10"/>
      <c r="L1045" s="10"/>
      <c r="M1045" s="10"/>
      <c r="N1045" s="10"/>
      <c r="O1045" s="7"/>
      <c r="P1045" s="7"/>
      <c r="Q1045" s="7"/>
      <c r="AB1045" s="7"/>
    </row>
    <row r="1046" spans="3:28" ht="13" x14ac:dyDescent="0.15">
      <c r="C1046" s="7"/>
      <c r="D1046" s="7"/>
      <c r="E1046" s="7"/>
      <c r="F1046" s="9"/>
      <c r="H1046" s="10"/>
      <c r="I1046" s="10"/>
      <c r="J1046" s="10"/>
      <c r="K1046" s="10"/>
      <c r="L1046" s="10"/>
      <c r="M1046" s="10"/>
      <c r="N1046" s="10"/>
      <c r="O1046" s="7"/>
      <c r="P1046" s="7"/>
      <c r="Q1046" s="7"/>
      <c r="AB1046" s="7"/>
    </row>
    <row r="1047" spans="3:28" ht="13" x14ac:dyDescent="0.15">
      <c r="C1047" s="7"/>
      <c r="D1047" s="7"/>
      <c r="E1047" s="7"/>
      <c r="F1047" s="9"/>
      <c r="H1047" s="10"/>
      <c r="I1047" s="10"/>
      <c r="J1047" s="10"/>
      <c r="K1047" s="10"/>
      <c r="L1047" s="10"/>
      <c r="M1047" s="10"/>
      <c r="N1047" s="10"/>
      <c r="O1047" s="7"/>
      <c r="P1047" s="7"/>
      <c r="Q1047" s="7"/>
      <c r="AB1047" s="7"/>
    </row>
    <row r="1048" spans="3:28" ht="13" x14ac:dyDescent="0.15">
      <c r="C1048" s="7"/>
      <c r="D1048" s="7"/>
      <c r="E1048" s="7"/>
      <c r="F1048" s="9"/>
      <c r="H1048" s="10"/>
      <c r="I1048" s="10"/>
      <c r="J1048" s="10"/>
      <c r="K1048" s="10"/>
      <c r="L1048" s="10"/>
      <c r="M1048" s="10"/>
      <c r="N1048" s="10"/>
      <c r="O1048" s="7"/>
      <c r="P1048" s="7"/>
      <c r="Q1048" s="7"/>
      <c r="AB1048" s="7"/>
    </row>
    <row r="1049" spans="3:28" ht="13" x14ac:dyDescent="0.15">
      <c r="C1049" s="7"/>
      <c r="D1049" s="7"/>
      <c r="E1049" s="7"/>
      <c r="F1049" s="9"/>
      <c r="H1049" s="10"/>
      <c r="I1049" s="10"/>
      <c r="J1049" s="10"/>
      <c r="K1049" s="10"/>
      <c r="L1049" s="10"/>
      <c r="M1049" s="10"/>
      <c r="N1049" s="10"/>
      <c r="O1049" s="7"/>
      <c r="P1049" s="7"/>
      <c r="Q1049" s="7"/>
      <c r="AB1049" s="7"/>
    </row>
    <row r="1050" spans="3:28" ht="13" x14ac:dyDescent="0.15">
      <c r="C1050" s="7"/>
      <c r="D1050" s="7"/>
      <c r="E1050" s="7"/>
      <c r="F1050" s="9"/>
      <c r="H1050" s="10"/>
      <c r="I1050" s="10"/>
      <c r="J1050" s="10"/>
      <c r="K1050" s="10"/>
      <c r="L1050" s="10"/>
      <c r="M1050" s="10"/>
      <c r="N1050" s="10"/>
      <c r="O1050" s="7"/>
      <c r="P1050" s="7"/>
      <c r="Q1050" s="7"/>
      <c r="AB1050" s="7"/>
    </row>
    <row r="1051" spans="3:28" ht="13" x14ac:dyDescent="0.15">
      <c r="C1051" s="7"/>
      <c r="D1051" s="7"/>
      <c r="E1051" s="7"/>
      <c r="F1051" s="9"/>
      <c r="H1051" s="10"/>
      <c r="I1051" s="10"/>
      <c r="J1051" s="10"/>
      <c r="K1051" s="10"/>
      <c r="L1051" s="10"/>
      <c r="M1051" s="10"/>
      <c r="N1051" s="10"/>
      <c r="O1051" s="7"/>
      <c r="P1051" s="7"/>
      <c r="Q1051" s="7"/>
      <c r="AB1051" s="7"/>
    </row>
    <row r="1052" spans="3:28" ht="13" x14ac:dyDescent="0.15">
      <c r="C1052" s="7"/>
      <c r="D1052" s="7"/>
      <c r="E1052" s="7"/>
      <c r="F1052" s="9"/>
      <c r="H1052" s="10"/>
      <c r="I1052" s="10"/>
      <c r="J1052" s="10"/>
      <c r="K1052" s="10"/>
      <c r="L1052" s="10"/>
      <c r="M1052" s="10"/>
      <c r="N1052" s="10"/>
      <c r="O1052" s="7"/>
      <c r="P1052" s="7"/>
      <c r="Q1052" s="7"/>
      <c r="AB1052" s="7"/>
    </row>
    <row r="1053" spans="3:28" ht="13" x14ac:dyDescent="0.15">
      <c r="C1053" s="7"/>
      <c r="D1053" s="7"/>
      <c r="E1053" s="7"/>
      <c r="F1053" s="9"/>
      <c r="H1053" s="10"/>
      <c r="I1053" s="10"/>
      <c r="J1053" s="10"/>
      <c r="K1053" s="10"/>
      <c r="L1053" s="10"/>
      <c r="M1053" s="10"/>
      <c r="N1053" s="10"/>
      <c r="O1053" s="7"/>
      <c r="P1053" s="7"/>
      <c r="Q1053" s="7"/>
      <c r="AB1053" s="7"/>
    </row>
    <row r="1054" spans="3:28" ht="13" x14ac:dyDescent="0.15">
      <c r="C1054" s="7"/>
      <c r="D1054" s="7"/>
      <c r="E1054" s="7"/>
      <c r="F1054" s="9"/>
      <c r="H1054" s="10"/>
      <c r="I1054" s="10"/>
      <c r="J1054" s="10"/>
      <c r="K1054" s="10"/>
      <c r="L1054" s="10"/>
      <c r="M1054" s="10"/>
      <c r="N1054" s="10"/>
      <c r="O1054" s="7"/>
      <c r="P1054" s="7"/>
      <c r="Q1054" s="7"/>
      <c r="AB1054" s="7"/>
    </row>
    <row r="1055" spans="3:28" ht="13" x14ac:dyDescent="0.15">
      <c r="C1055" s="7"/>
      <c r="D1055" s="7"/>
      <c r="E1055" s="7"/>
      <c r="F1055" s="9"/>
      <c r="H1055" s="10"/>
      <c r="I1055" s="10"/>
      <c r="J1055" s="10"/>
      <c r="K1055" s="10"/>
      <c r="L1055" s="10"/>
      <c r="M1055" s="10"/>
      <c r="N1055" s="10"/>
      <c r="O1055" s="7"/>
      <c r="P1055" s="7"/>
      <c r="Q1055" s="7"/>
      <c r="AB1055" s="7"/>
    </row>
    <row r="1056" spans="3:28" ht="13" x14ac:dyDescent="0.15">
      <c r="C1056" s="7"/>
      <c r="D1056" s="7"/>
      <c r="E1056" s="7"/>
      <c r="F1056" s="9"/>
      <c r="H1056" s="10"/>
      <c r="I1056" s="10"/>
      <c r="J1056" s="10"/>
      <c r="K1056" s="10"/>
      <c r="L1056" s="10"/>
      <c r="M1056" s="10"/>
      <c r="N1056" s="10"/>
      <c r="O1056" s="7"/>
      <c r="P1056" s="7"/>
      <c r="Q1056" s="7"/>
      <c r="AB1056" s="7"/>
    </row>
    <row r="1057" spans="3:28" ht="13" x14ac:dyDescent="0.15">
      <c r="C1057" s="7"/>
      <c r="D1057" s="7"/>
      <c r="E1057" s="7"/>
      <c r="F1057" s="9"/>
      <c r="H1057" s="10"/>
      <c r="I1057" s="10"/>
      <c r="J1057" s="10"/>
      <c r="K1057" s="10"/>
      <c r="L1057" s="10"/>
      <c r="M1057" s="10"/>
      <c r="N1057" s="10"/>
      <c r="O1057" s="7"/>
      <c r="P1057" s="7"/>
      <c r="Q1057" s="7"/>
      <c r="AB1057" s="7"/>
    </row>
    <row r="1058" spans="3:28" ht="13" x14ac:dyDescent="0.15">
      <c r="C1058" s="7"/>
      <c r="D1058" s="7"/>
      <c r="E1058" s="7"/>
      <c r="F1058" s="9"/>
      <c r="H1058" s="10"/>
      <c r="I1058" s="10"/>
      <c r="J1058" s="10"/>
      <c r="K1058" s="10"/>
      <c r="L1058" s="10"/>
      <c r="M1058" s="10"/>
      <c r="N1058" s="10"/>
      <c r="O1058" s="7"/>
      <c r="P1058" s="7"/>
      <c r="Q1058" s="7"/>
      <c r="AB1058" s="7"/>
    </row>
    <row r="1059" spans="3:28" ht="13" x14ac:dyDescent="0.15">
      <c r="C1059" s="7"/>
      <c r="D1059" s="7"/>
      <c r="E1059" s="7"/>
      <c r="F1059" s="9"/>
      <c r="H1059" s="10"/>
      <c r="I1059" s="10"/>
      <c r="J1059" s="10"/>
      <c r="K1059" s="10"/>
      <c r="L1059" s="10"/>
      <c r="M1059" s="10"/>
      <c r="N1059" s="10"/>
      <c r="O1059" s="7"/>
      <c r="P1059" s="7"/>
      <c r="Q1059" s="7"/>
      <c r="AB1059" s="7"/>
    </row>
    <row r="1060" spans="3:28" ht="13" x14ac:dyDescent="0.15">
      <c r="C1060" s="7"/>
      <c r="D1060" s="7"/>
      <c r="E1060" s="7"/>
      <c r="F1060" s="9"/>
      <c r="H1060" s="10"/>
      <c r="I1060" s="10"/>
      <c r="J1060" s="10"/>
      <c r="K1060" s="10"/>
      <c r="L1060" s="10"/>
      <c r="M1060" s="10"/>
      <c r="N1060" s="10"/>
      <c r="O1060" s="7"/>
      <c r="P1060" s="7"/>
      <c r="Q1060" s="7"/>
      <c r="AB1060" s="7"/>
    </row>
    <row r="1061" spans="3:28" ht="13" x14ac:dyDescent="0.15">
      <c r="C1061" s="7"/>
      <c r="D1061" s="7"/>
      <c r="E1061" s="7"/>
      <c r="F1061" s="9"/>
      <c r="H1061" s="10"/>
      <c r="I1061" s="10"/>
      <c r="J1061" s="10"/>
      <c r="K1061" s="10"/>
      <c r="L1061" s="10"/>
      <c r="M1061" s="10"/>
      <c r="N1061" s="10"/>
      <c r="O1061" s="7"/>
      <c r="P1061" s="7"/>
      <c r="Q1061" s="7"/>
      <c r="AB1061" s="7"/>
    </row>
    <row r="1062" spans="3:28" ht="13" x14ac:dyDescent="0.15">
      <c r="C1062" s="7"/>
      <c r="D1062" s="7"/>
      <c r="E1062" s="7"/>
      <c r="F1062" s="9"/>
      <c r="H1062" s="10"/>
      <c r="I1062" s="10"/>
      <c r="J1062" s="10"/>
      <c r="K1062" s="10"/>
      <c r="L1062" s="10"/>
      <c r="M1062" s="10"/>
      <c r="N1062" s="10"/>
      <c r="O1062" s="7"/>
      <c r="P1062" s="7"/>
      <c r="Q1062" s="7"/>
      <c r="AB1062" s="7"/>
    </row>
    <row r="1063" spans="3:28" ht="13" x14ac:dyDescent="0.15">
      <c r="C1063" s="7"/>
      <c r="D1063" s="7"/>
      <c r="E1063" s="7"/>
      <c r="F1063" s="9"/>
      <c r="H1063" s="10"/>
      <c r="I1063" s="10"/>
      <c r="J1063" s="10"/>
      <c r="K1063" s="10"/>
      <c r="L1063" s="10"/>
      <c r="M1063" s="10"/>
      <c r="N1063" s="10"/>
      <c r="O1063" s="7"/>
      <c r="P1063" s="7"/>
      <c r="Q1063" s="7"/>
      <c r="AB1063" s="7"/>
    </row>
    <row r="1064" spans="3:28" ht="13" x14ac:dyDescent="0.15">
      <c r="C1064" s="7"/>
      <c r="D1064" s="7"/>
      <c r="E1064" s="7"/>
      <c r="F1064" s="9"/>
      <c r="H1064" s="10"/>
      <c r="I1064" s="10"/>
      <c r="J1064" s="10"/>
      <c r="K1064" s="10"/>
      <c r="L1064" s="10"/>
      <c r="M1064" s="10"/>
      <c r="N1064" s="10"/>
      <c r="O1064" s="7"/>
      <c r="P1064" s="7"/>
      <c r="Q1064" s="7"/>
      <c r="AB1064" s="7"/>
    </row>
    <row r="1065" spans="3:28" ht="13" x14ac:dyDescent="0.15">
      <c r="C1065" s="7"/>
      <c r="D1065" s="7"/>
      <c r="E1065" s="7"/>
      <c r="F1065" s="9"/>
      <c r="H1065" s="10"/>
      <c r="I1065" s="10"/>
      <c r="J1065" s="10"/>
      <c r="K1065" s="10"/>
      <c r="L1065" s="10"/>
      <c r="M1065" s="10"/>
      <c r="N1065" s="10"/>
      <c r="O1065" s="7"/>
      <c r="P1065" s="7"/>
      <c r="Q1065" s="7"/>
      <c r="AB1065" s="7"/>
    </row>
    <row r="1066" spans="3:28" ht="13" x14ac:dyDescent="0.15">
      <c r="C1066" s="7"/>
      <c r="D1066" s="7"/>
      <c r="E1066" s="7"/>
      <c r="F1066" s="9"/>
      <c r="H1066" s="10"/>
      <c r="I1066" s="10"/>
      <c r="J1066" s="10"/>
      <c r="K1066" s="10"/>
      <c r="L1066" s="10"/>
      <c r="M1066" s="10"/>
      <c r="N1066" s="10"/>
      <c r="O1066" s="7"/>
      <c r="P1066" s="7"/>
      <c r="Q1066" s="7"/>
      <c r="AB1066" s="7"/>
    </row>
    <row r="1067" spans="3:28" ht="13" x14ac:dyDescent="0.15">
      <c r="C1067" s="7"/>
      <c r="D1067" s="7"/>
      <c r="E1067" s="7"/>
      <c r="F1067" s="9"/>
      <c r="H1067" s="10"/>
      <c r="I1067" s="10"/>
      <c r="J1067" s="10"/>
      <c r="K1067" s="10"/>
      <c r="L1067" s="10"/>
      <c r="M1067" s="10"/>
      <c r="N1067" s="10"/>
      <c r="O1067" s="7"/>
      <c r="P1067" s="7"/>
      <c r="Q1067" s="7"/>
      <c r="AB1067" s="7"/>
    </row>
    <row r="1068" spans="3:28" ht="13" x14ac:dyDescent="0.15">
      <c r="C1068" s="7"/>
      <c r="D1068" s="7"/>
      <c r="E1068" s="7"/>
      <c r="F1068" s="9"/>
      <c r="H1068" s="10"/>
      <c r="I1068" s="10"/>
      <c r="J1068" s="10"/>
      <c r="K1068" s="10"/>
      <c r="L1068" s="10"/>
      <c r="M1068" s="10"/>
      <c r="N1068" s="10"/>
      <c r="O1068" s="7"/>
      <c r="P1068" s="7"/>
      <c r="Q1068" s="7"/>
      <c r="AB1068" s="7"/>
    </row>
    <row r="1069" spans="3:28" ht="13" x14ac:dyDescent="0.15">
      <c r="C1069" s="7"/>
      <c r="D1069" s="7"/>
      <c r="E1069" s="7"/>
      <c r="F1069" s="9"/>
      <c r="H1069" s="10"/>
      <c r="I1069" s="10"/>
      <c r="J1069" s="10"/>
      <c r="K1069" s="10"/>
      <c r="L1069" s="10"/>
      <c r="M1069" s="10"/>
      <c r="N1069" s="10"/>
      <c r="O1069" s="7"/>
      <c r="P1069" s="7"/>
      <c r="Q1069" s="7"/>
      <c r="AB1069" s="7"/>
    </row>
    <row r="1070" spans="3:28" ht="13" x14ac:dyDescent="0.15">
      <c r="C1070" s="7"/>
      <c r="D1070" s="7"/>
      <c r="E1070" s="7"/>
      <c r="F1070" s="9"/>
      <c r="H1070" s="10"/>
      <c r="I1070" s="10"/>
      <c r="J1070" s="10"/>
      <c r="K1070" s="10"/>
      <c r="L1070" s="10"/>
      <c r="M1070" s="10"/>
      <c r="N1070" s="10"/>
      <c r="O1070" s="7"/>
      <c r="P1070" s="7"/>
      <c r="Q1070" s="7"/>
      <c r="AB1070" s="7"/>
    </row>
    <row r="1071" spans="3:28" ht="13" x14ac:dyDescent="0.15">
      <c r="C1071" s="7"/>
      <c r="D1071" s="7"/>
      <c r="E1071" s="7"/>
      <c r="F1071" s="9"/>
      <c r="H1071" s="10"/>
      <c r="I1071" s="10"/>
      <c r="J1071" s="10"/>
      <c r="K1071" s="10"/>
      <c r="L1071" s="10"/>
      <c r="M1071" s="10"/>
      <c r="N1071" s="10"/>
      <c r="O1071" s="7"/>
      <c r="P1071" s="7"/>
      <c r="Q1071" s="7"/>
      <c r="AB1071" s="7"/>
    </row>
    <row r="1072" spans="3:28" ht="13" x14ac:dyDescent="0.15">
      <c r="C1072" s="7"/>
      <c r="D1072" s="7"/>
      <c r="E1072" s="7"/>
      <c r="F1072" s="9"/>
      <c r="H1072" s="10"/>
      <c r="I1072" s="10"/>
      <c r="J1072" s="10"/>
      <c r="K1072" s="10"/>
      <c r="L1072" s="10"/>
      <c r="M1072" s="10"/>
      <c r="N1072" s="10"/>
      <c r="O1072" s="7"/>
      <c r="P1072" s="7"/>
      <c r="Q1072" s="7"/>
      <c r="AB1072" s="7"/>
    </row>
    <row r="1073" spans="3:28" ht="13" x14ac:dyDescent="0.15">
      <c r="C1073" s="7"/>
      <c r="D1073" s="7"/>
      <c r="E1073" s="7"/>
      <c r="F1073" s="9"/>
      <c r="H1073" s="10"/>
      <c r="I1073" s="10"/>
      <c r="J1073" s="10"/>
      <c r="K1073" s="10"/>
      <c r="L1073" s="10"/>
      <c r="M1073" s="10"/>
      <c r="N1073" s="10"/>
      <c r="O1073" s="7"/>
      <c r="P1073" s="7"/>
      <c r="Q1073" s="7"/>
      <c r="AB1073" s="7"/>
    </row>
    <row r="1074" spans="3:28" ht="13" x14ac:dyDescent="0.15">
      <c r="C1074" s="7"/>
      <c r="D1074" s="7"/>
      <c r="E1074" s="7"/>
      <c r="F1074" s="9"/>
      <c r="H1074" s="10"/>
      <c r="I1074" s="10"/>
      <c r="J1074" s="10"/>
      <c r="K1074" s="10"/>
      <c r="L1074" s="10"/>
      <c r="M1074" s="10"/>
      <c r="N1074" s="10"/>
      <c r="O1074" s="7"/>
      <c r="P1074" s="7"/>
      <c r="Q1074" s="7"/>
      <c r="AB1074" s="7"/>
    </row>
    <row r="1075" spans="3:28" ht="13" x14ac:dyDescent="0.15">
      <c r="C1075" s="7"/>
      <c r="D1075" s="7"/>
      <c r="E1075" s="7"/>
      <c r="F1075" s="9"/>
      <c r="H1075" s="10"/>
      <c r="I1075" s="10"/>
      <c r="J1075" s="10"/>
      <c r="K1075" s="10"/>
      <c r="L1075" s="10"/>
      <c r="M1075" s="10"/>
      <c r="N1075" s="10"/>
      <c r="O1075" s="7"/>
      <c r="P1075" s="7"/>
      <c r="Q1075" s="7"/>
      <c r="AB1075" s="7"/>
    </row>
    <row r="1076" spans="3:28" ht="13" x14ac:dyDescent="0.15">
      <c r="C1076" s="7"/>
      <c r="D1076" s="7"/>
      <c r="E1076" s="7"/>
      <c r="F1076" s="9"/>
      <c r="H1076" s="10"/>
      <c r="I1076" s="10"/>
      <c r="J1076" s="10"/>
      <c r="K1076" s="10"/>
      <c r="L1076" s="10"/>
      <c r="M1076" s="10"/>
      <c r="N1076" s="10"/>
      <c r="O1076" s="7"/>
      <c r="P1076" s="7"/>
      <c r="Q1076" s="7"/>
      <c r="AB1076" s="7"/>
    </row>
    <row r="1077" spans="3:28" ht="13" x14ac:dyDescent="0.15">
      <c r="C1077" s="7"/>
      <c r="D1077" s="7"/>
      <c r="E1077" s="7"/>
      <c r="F1077" s="9"/>
      <c r="H1077" s="10"/>
      <c r="I1077" s="10"/>
      <c r="J1077" s="10"/>
      <c r="K1077" s="10"/>
      <c r="L1077" s="10"/>
      <c r="M1077" s="10"/>
      <c r="N1077" s="10"/>
      <c r="O1077" s="7"/>
      <c r="P1077" s="7"/>
      <c r="Q1077" s="7"/>
      <c r="AB1077" s="7"/>
    </row>
    <row r="1078" spans="3:28" ht="13" x14ac:dyDescent="0.15">
      <c r="C1078" s="7"/>
      <c r="D1078" s="7"/>
      <c r="E1078" s="7"/>
      <c r="F1078" s="9"/>
      <c r="H1078" s="10"/>
      <c r="I1078" s="10"/>
      <c r="J1078" s="10"/>
      <c r="K1078" s="10"/>
      <c r="L1078" s="10"/>
      <c r="M1078" s="10"/>
      <c r="N1078" s="10"/>
      <c r="O1078" s="7"/>
      <c r="P1078" s="7"/>
      <c r="Q1078" s="7"/>
      <c r="AB1078" s="7"/>
    </row>
    <row r="1079" spans="3:28" ht="13" x14ac:dyDescent="0.15">
      <c r="C1079" s="7"/>
      <c r="D1079" s="7"/>
      <c r="E1079" s="7"/>
      <c r="F1079" s="9"/>
      <c r="H1079" s="10"/>
      <c r="I1079" s="10"/>
      <c r="J1079" s="10"/>
      <c r="K1079" s="10"/>
      <c r="L1079" s="10"/>
      <c r="M1079" s="10"/>
      <c r="N1079" s="10"/>
      <c r="O1079" s="7"/>
      <c r="P1079" s="7"/>
      <c r="Q1079" s="7"/>
      <c r="AB1079" s="7"/>
    </row>
    <row r="1080" spans="3:28" ht="13" x14ac:dyDescent="0.15">
      <c r="C1080" s="7"/>
      <c r="D1080" s="7"/>
      <c r="E1080" s="7"/>
      <c r="F1080" s="9"/>
      <c r="H1080" s="10"/>
      <c r="I1080" s="10"/>
      <c r="J1080" s="10"/>
      <c r="K1080" s="10"/>
      <c r="L1080" s="10"/>
      <c r="M1080" s="10"/>
      <c r="N1080" s="10"/>
      <c r="O1080" s="7"/>
      <c r="P1080" s="7"/>
      <c r="Q1080" s="7"/>
      <c r="AB1080" s="7"/>
    </row>
    <row r="1081" spans="3:28" ht="13" x14ac:dyDescent="0.15">
      <c r="C1081" s="7"/>
      <c r="D1081" s="7"/>
      <c r="E1081" s="7"/>
      <c r="F1081" s="9"/>
      <c r="H1081" s="10"/>
      <c r="I1081" s="10"/>
      <c r="J1081" s="10"/>
      <c r="K1081" s="10"/>
      <c r="L1081" s="10"/>
      <c r="M1081" s="10"/>
      <c r="N1081" s="10"/>
      <c r="O1081" s="7"/>
      <c r="P1081" s="7"/>
      <c r="Q1081" s="7"/>
      <c r="AB1081" s="7"/>
    </row>
    <row r="1082" spans="3:28" ht="13" x14ac:dyDescent="0.15">
      <c r="C1082" s="7"/>
      <c r="D1082" s="7"/>
      <c r="E1082" s="7"/>
      <c r="F1082" s="9"/>
      <c r="H1082" s="10"/>
      <c r="I1082" s="10"/>
      <c r="J1082" s="10"/>
      <c r="K1082" s="10"/>
      <c r="L1082" s="10"/>
      <c r="M1082" s="10"/>
      <c r="N1082" s="10"/>
      <c r="O1082" s="7"/>
      <c r="P1082" s="7"/>
      <c r="Q1082" s="7"/>
      <c r="AB1082" s="7"/>
    </row>
    <row r="1083" spans="3:28" ht="13" x14ac:dyDescent="0.15">
      <c r="C1083" s="7"/>
      <c r="D1083" s="7"/>
      <c r="E1083" s="7"/>
      <c r="F1083" s="9"/>
      <c r="H1083" s="10"/>
      <c r="I1083" s="10"/>
      <c r="J1083" s="10"/>
      <c r="K1083" s="10"/>
      <c r="L1083" s="10"/>
      <c r="M1083" s="10"/>
      <c r="N1083" s="10"/>
      <c r="O1083" s="7"/>
      <c r="P1083" s="7"/>
      <c r="Q1083" s="7"/>
      <c r="AB1083" s="7"/>
    </row>
    <row r="1084" spans="3:28" ht="13" x14ac:dyDescent="0.15">
      <c r="C1084" s="7"/>
      <c r="D1084" s="7"/>
      <c r="E1084" s="7"/>
      <c r="F1084" s="9"/>
      <c r="H1084" s="10"/>
      <c r="I1084" s="10"/>
      <c r="J1084" s="10"/>
      <c r="K1084" s="10"/>
      <c r="L1084" s="10"/>
      <c r="M1084" s="10"/>
      <c r="N1084" s="10"/>
      <c r="O1084" s="7"/>
      <c r="P1084" s="7"/>
      <c r="Q1084" s="7"/>
      <c r="AB1084" s="7"/>
    </row>
    <row r="1085" spans="3:28" ht="13" x14ac:dyDescent="0.15">
      <c r="C1085" s="7"/>
      <c r="D1085" s="7"/>
      <c r="E1085" s="7"/>
      <c r="F1085" s="9"/>
      <c r="H1085" s="10"/>
      <c r="I1085" s="10"/>
      <c r="J1085" s="10"/>
      <c r="K1085" s="10"/>
      <c r="L1085" s="10"/>
      <c r="M1085" s="10"/>
      <c r="N1085" s="10"/>
      <c r="O1085" s="7"/>
      <c r="P1085" s="7"/>
      <c r="Q1085" s="7"/>
      <c r="AB1085" s="7"/>
    </row>
    <row r="1086" spans="3:28" ht="13" x14ac:dyDescent="0.15">
      <c r="C1086" s="7"/>
      <c r="D1086" s="7"/>
      <c r="E1086" s="7"/>
      <c r="F1086" s="9"/>
      <c r="H1086" s="10"/>
      <c r="I1086" s="10"/>
      <c r="J1086" s="10"/>
      <c r="K1086" s="10"/>
      <c r="L1086" s="10"/>
      <c r="M1086" s="10"/>
      <c r="N1086" s="10"/>
      <c r="O1086" s="7"/>
      <c r="P1086" s="7"/>
      <c r="Q1086" s="7"/>
      <c r="AB1086" s="7"/>
    </row>
    <row r="1087" spans="3:28" ht="13" x14ac:dyDescent="0.15">
      <c r="C1087" s="7"/>
      <c r="D1087" s="7"/>
      <c r="E1087" s="7"/>
      <c r="F1087" s="9"/>
      <c r="H1087" s="10"/>
      <c r="I1087" s="10"/>
      <c r="J1087" s="10"/>
      <c r="K1087" s="10"/>
      <c r="L1087" s="10"/>
      <c r="M1087" s="10"/>
      <c r="N1087" s="10"/>
      <c r="O1087" s="7"/>
      <c r="P1087" s="7"/>
      <c r="Q1087" s="7"/>
      <c r="AB1087" s="7"/>
    </row>
    <row r="1088" spans="3:28" ht="13" x14ac:dyDescent="0.15">
      <c r="C1088" s="7"/>
      <c r="D1088" s="7"/>
      <c r="E1088" s="7"/>
      <c r="F1088" s="9"/>
      <c r="H1088" s="10"/>
      <c r="I1088" s="10"/>
      <c r="J1088" s="10"/>
      <c r="K1088" s="10"/>
      <c r="L1088" s="10"/>
      <c r="M1088" s="10"/>
      <c r="N1088" s="10"/>
      <c r="O1088" s="7"/>
      <c r="P1088" s="7"/>
      <c r="Q1088" s="7"/>
      <c r="AB1088" s="7"/>
    </row>
    <row r="1089" spans="3:28" ht="13" x14ac:dyDescent="0.15">
      <c r="C1089" s="7"/>
      <c r="D1089" s="7"/>
      <c r="E1089" s="7"/>
      <c r="F1089" s="9"/>
      <c r="H1089" s="10"/>
      <c r="I1089" s="10"/>
      <c r="J1089" s="10"/>
      <c r="K1089" s="10"/>
      <c r="L1089" s="10"/>
      <c r="M1089" s="10"/>
      <c r="N1089" s="10"/>
      <c r="O1089" s="7"/>
      <c r="P1089" s="7"/>
      <c r="Q1089" s="7"/>
      <c r="AB1089" s="7"/>
    </row>
    <row r="1090" spans="3:28" ht="13" x14ac:dyDescent="0.15">
      <c r="C1090" s="7"/>
      <c r="D1090" s="7"/>
      <c r="E1090" s="7"/>
      <c r="F1090" s="9"/>
      <c r="H1090" s="10"/>
      <c r="I1090" s="10"/>
      <c r="J1090" s="10"/>
      <c r="K1090" s="10"/>
      <c r="L1090" s="10"/>
      <c r="M1090" s="10"/>
      <c r="N1090" s="10"/>
      <c r="O1090" s="7"/>
      <c r="P1090" s="7"/>
      <c r="Q1090" s="7"/>
      <c r="AB1090" s="7"/>
    </row>
    <row r="1091" spans="3:28" ht="13" x14ac:dyDescent="0.15">
      <c r="C1091" s="7"/>
      <c r="D1091" s="7"/>
      <c r="E1091" s="7"/>
      <c r="F1091" s="9"/>
      <c r="H1091" s="10"/>
      <c r="I1091" s="10"/>
      <c r="J1091" s="10"/>
      <c r="K1091" s="10"/>
      <c r="L1091" s="10"/>
      <c r="M1091" s="10"/>
      <c r="N1091" s="10"/>
      <c r="O1091" s="7"/>
      <c r="P1091" s="7"/>
      <c r="Q1091" s="7"/>
      <c r="AB1091" s="7"/>
    </row>
    <row r="1092" spans="3:28" ht="13" x14ac:dyDescent="0.15">
      <c r="C1092" s="7"/>
      <c r="D1092" s="7"/>
      <c r="E1092" s="7"/>
      <c r="F1092" s="9"/>
      <c r="H1092" s="10"/>
      <c r="I1092" s="10"/>
      <c r="J1092" s="10"/>
      <c r="K1092" s="10"/>
      <c r="L1092" s="10"/>
      <c r="M1092" s="10"/>
      <c r="N1092" s="10"/>
      <c r="O1092" s="7"/>
      <c r="P1092" s="7"/>
      <c r="Q1092" s="7"/>
      <c r="AB1092" s="7"/>
    </row>
    <row r="1093" spans="3:28" ht="13" x14ac:dyDescent="0.15">
      <c r="C1093" s="7"/>
      <c r="D1093" s="7"/>
      <c r="E1093" s="7"/>
      <c r="F1093" s="9"/>
      <c r="H1093" s="10"/>
      <c r="I1093" s="10"/>
      <c r="J1093" s="10"/>
      <c r="K1093" s="10"/>
      <c r="L1093" s="10"/>
      <c r="M1093" s="10"/>
      <c r="N1093" s="10"/>
      <c r="O1093" s="7"/>
      <c r="P1093" s="7"/>
      <c r="Q1093" s="7"/>
      <c r="AB1093" s="7"/>
    </row>
    <row r="1094" spans="3:28" ht="13" x14ac:dyDescent="0.15">
      <c r="C1094" s="7"/>
      <c r="D1094" s="7"/>
      <c r="E1094" s="7"/>
      <c r="F1094" s="9"/>
      <c r="H1094" s="10"/>
      <c r="I1094" s="10"/>
      <c r="J1094" s="10"/>
      <c r="K1094" s="10"/>
      <c r="L1094" s="10"/>
      <c r="M1094" s="10"/>
      <c r="N1094" s="10"/>
      <c r="O1094" s="7"/>
      <c r="P1094" s="7"/>
      <c r="Q1094" s="7"/>
      <c r="AB1094" s="7"/>
    </row>
    <row r="1095" spans="3:28" ht="13" x14ac:dyDescent="0.15">
      <c r="C1095" s="7"/>
      <c r="D1095" s="7"/>
      <c r="E1095" s="7"/>
      <c r="F1095" s="9"/>
      <c r="H1095" s="10"/>
      <c r="I1095" s="10"/>
      <c r="J1095" s="10"/>
      <c r="K1095" s="10"/>
      <c r="L1095" s="10"/>
      <c r="M1095" s="10"/>
      <c r="N1095" s="10"/>
      <c r="O1095" s="7"/>
      <c r="P1095" s="7"/>
      <c r="Q1095" s="7"/>
      <c r="AB1095" s="7"/>
    </row>
    <row r="1096" spans="3:28" ht="13" x14ac:dyDescent="0.15">
      <c r="C1096" s="7"/>
      <c r="D1096" s="7"/>
      <c r="E1096" s="7"/>
      <c r="F1096" s="9"/>
      <c r="H1096" s="10"/>
      <c r="I1096" s="10"/>
      <c r="J1096" s="10"/>
      <c r="K1096" s="10"/>
      <c r="L1096" s="10"/>
      <c r="M1096" s="10"/>
      <c r="N1096" s="10"/>
      <c r="O1096" s="7"/>
      <c r="P1096" s="7"/>
      <c r="Q1096" s="7"/>
      <c r="AB1096" s="7"/>
    </row>
    <row r="1097" spans="3:28" ht="13" x14ac:dyDescent="0.15">
      <c r="C1097" s="7"/>
      <c r="D1097" s="7"/>
      <c r="E1097" s="7"/>
      <c r="F1097" s="9"/>
      <c r="H1097" s="10"/>
      <c r="I1097" s="10"/>
      <c r="J1097" s="10"/>
      <c r="K1097" s="10"/>
      <c r="L1097" s="10"/>
      <c r="M1097" s="10"/>
      <c r="N1097" s="10"/>
      <c r="O1097" s="7"/>
      <c r="P1097" s="7"/>
      <c r="Q1097" s="7"/>
      <c r="AB1097" s="7"/>
    </row>
    <row r="1098" spans="3:28" ht="13" x14ac:dyDescent="0.15">
      <c r="C1098" s="7"/>
      <c r="D1098" s="7"/>
      <c r="E1098" s="7"/>
      <c r="F1098" s="9"/>
      <c r="H1098" s="10"/>
      <c r="I1098" s="10"/>
      <c r="J1098" s="10"/>
      <c r="K1098" s="10"/>
      <c r="L1098" s="10"/>
      <c r="M1098" s="10"/>
      <c r="N1098" s="10"/>
      <c r="O1098" s="7"/>
      <c r="P1098" s="7"/>
      <c r="Q1098" s="7"/>
      <c r="AB1098" s="7"/>
    </row>
    <row r="1099" spans="3:28" ht="13" x14ac:dyDescent="0.15">
      <c r="C1099" s="7"/>
      <c r="D1099" s="7"/>
      <c r="E1099" s="7"/>
      <c r="F1099" s="9"/>
      <c r="H1099" s="10"/>
      <c r="I1099" s="10"/>
      <c r="J1099" s="10"/>
      <c r="K1099" s="10"/>
      <c r="L1099" s="10"/>
      <c r="M1099" s="10"/>
      <c r="N1099" s="10"/>
      <c r="O1099" s="7"/>
      <c r="P1099" s="7"/>
      <c r="Q1099" s="7"/>
      <c r="AB1099" s="7"/>
    </row>
    <row r="1100" spans="3:28" ht="13" x14ac:dyDescent="0.15">
      <c r="C1100" s="7"/>
      <c r="D1100" s="7"/>
      <c r="E1100" s="7"/>
      <c r="F1100" s="9"/>
      <c r="H1100" s="10"/>
      <c r="I1100" s="10"/>
      <c r="J1100" s="10"/>
      <c r="K1100" s="10"/>
      <c r="L1100" s="10"/>
      <c r="M1100" s="10"/>
      <c r="N1100" s="10"/>
      <c r="O1100" s="7"/>
      <c r="P1100" s="7"/>
      <c r="Q1100" s="7"/>
      <c r="AB1100" s="7"/>
    </row>
    <row r="1101" spans="3:28" ht="13" x14ac:dyDescent="0.15">
      <c r="C1101" s="7"/>
      <c r="D1101" s="7"/>
      <c r="E1101" s="7"/>
      <c r="F1101" s="9"/>
      <c r="H1101" s="10"/>
      <c r="I1101" s="10"/>
      <c r="J1101" s="10"/>
      <c r="K1101" s="10"/>
      <c r="L1101" s="10"/>
      <c r="M1101" s="10"/>
      <c r="N1101" s="10"/>
      <c r="O1101" s="7"/>
      <c r="P1101" s="7"/>
      <c r="Q1101" s="7"/>
      <c r="AB1101" s="7"/>
    </row>
    <row r="1102" spans="3:28" ht="13" x14ac:dyDescent="0.15">
      <c r="C1102" s="7"/>
      <c r="D1102" s="7"/>
      <c r="E1102" s="7"/>
      <c r="F1102" s="9"/>
      <c r="H1102" s="10"/>
      <c r="I1102" s="10"/>
      <c r="J1102" s="10"/>
      <c r="K1102" s="10"/>
      <c r="L1102" s="10"/>
      <c r="M1102" s="10"/>
      <c r="N1102" s="10"/>
      <c r="O1102" s="7"/>
      <c r="P1102" s="7"/>
      <c r="Q1102" s="7"/>
      <c r="AB1102" s="7"/>
    </row>
    <row r="1103" spans="3:28" ht="13" x14ac:dyDescent="0.15">
      <c r="C1103" s="7"/>
      <c r="D1103" s="7"/>
      <c r="E1103" s="7"/>
      <c r="F1103" s="9"/>
      <c r="H1103" s="10"/>
      <c r="I1103" s="10"/>
      <c r="J1103" s="10"/>
      <c r="K1103" s="10"/>
      <c r="L1103" s="10"/>
      <c r="M1103" s="10"/>
      <c r="N1103" s="10"/>
      <c r="O1103" s="7"/>
      <c r="P1103" s="7"/>
      <c r="Q1103" s="7"/>
      <c r="AB1103" s="7"/>
    </row>
    <row r="1104" spans="3:28" ht="13" x14ac:dyDescent="0.15">
      <c r="C1104" s="7"/>
      <c r="D1104" s="7"/>
      <c r="E1104" s="7"/>
      <c r="F1104" s="9"/>
      <c r="H1104" s="10"/>
      <c r="I1104" s="10"/>
      <c r="J1104" s="10"/>
      <c r="K1104" s="10"/>
      <c r="L1104" s="10"/>
      <c r="M1104" s="10"/>
      <c r="N1104" s="10"/>
      <c r="O1104" s="7"/>
      <c r="P1104" s="7"/>
      <c r="Q1104" s="7"/>
      <c r="AB1104" s="7"/>
    </row>
    <row r="1105" spans="3:28" ht="13" x14ac:dyDescent="0.15">
      <c r="C1105" s="7"/>
      <c r="D1105" s="7"/>
      <c r="E1105" s="7"/>
      <c r="F1105" s="9"/>
      <c r="H1105" s="10"/>
      <c r="I1105" s="10"/>
      <c r="J1105" s="10"/>
      <c r="K1105" s="10"/>
      <c r="L1105" s="10"/>
      <c r="M1105" s="10"/>
      <c r="N1105" s="10"/>
      <c r="O1105" s="7"/>
      <c r="P1105" s="7"/>
      <c r="Q1105" s="7"/>
      <c r="AB1105" s="7"/>
    </row>
    <row r="1106" spans="3:28" ht="13" x14ac:dyDescent="0.15">
      <c r="C1106" s="7"/>
      <c r="D1106" s="7"/>
      <c r="E1106" s="7"/>
      <c r="F1106" s="9"/>
      <c r="H1106" s="10"/>
      <c r="I1106" s="10"/>
      <c r="J1106" s="10"/>
      <c r="K1106" s="10"/>
      <c r="L1106" s="10"/>
      <c r="M1106" s="10"/>
      <c r="N1106" s="10"/>
      <c r="O1106" s="7"/>
      <c r="P1106" s="7"/>
      <c r="Q1106" s="7"/>
      <c r="AB1106" s="7"/>
    </row>
    <row r="1107" spans="3:28" ht="13" x14ac:dyDescent="0.15">
      <c r="C1107" s="7"/>
      <c r="D1107" s="7"/>
      <c r="E1107" s="7"/>
      <c r="F1107" s="9"/>
      <c r="H1107" s="10"/>
      <c r="I1107" s="10"/>
      <c r="J1107" s="10"/>
      <c r="K1107" s="10"/>
      <c r="L1107" s="10"/>
      <c r="M1107" s="10"/>
      <c r="N1107" s="10"/>
      <c r="O1107" s="7"/>
      <c r="P1107" s="7"/>
      <c r="Q1107" s="7"/>
      <c r="AB1107" s="7"/>
    </row>
    <row r="1108" spans="3:28" ht="13" x14ac:dyDescent="0.15">
      <c r="C1108" s="7"/>
      <c r="D1108" s="7"/>
      <c r="E1108" s="7"/>
      <c r="F1108" s="9"/>
      <c r="H1108" s="10"/>
      <c r="I1108" s="10"/>
      <c r="J1108" s="10"/>
      <c r="K1108" s="10"/>
      <c r="L1108" s="10"/>
      <c r="M1108" s="10"/>
      <c r="N1108" s="10"/>
      <c r="O1108" s="7"/>
      <c r="P1108" s="7"/>
      <c r="Q1108" s="7"/>
      <c r="AB1108" s="7"/>
    </row>
    <row r="1109" spans="3:28" ht="13" x14ac:dyDescent="0.15">
      <c r="C1109" s="7"/>
      <c r="D1109" s="7"/>
      <c r="E1109" s="7"/>
      <c r="F1109" s="9"/>
      <c r="H1109" s="10"/>
      <c r="I1109" s="10"/>
      <c r="J1109" s="10"/>
      <c r="K1109" s="10"/>
      <c r="L1109" s="10"/>
      <c r="M1109" s="10"/>
      <c r="N1109" s="10"/>
      <c r="O1109" s="7"/>
      <c r="P1109" s="7"/>
      <c r="Q1109" s="7"/>
      <c r="AB1109" s="7"/>
    </row>
    <row r="1110" spans="3:28" ht="13" x14ac:dyDescent="0.15">
      <c r="C1110" s="7"/>
      <c r="D1110" s="7"/>
      <c r="E1110" s="7"/>
      <c r="F1110" s="9"/>
      <c r="H1110" s="10"/>
      <c r="I1110" s="10"/>
      <c r="J1110" s="10"/>
      <c r="K1110" s="10"/>
      <c r="L1110" s="10"/>
      <c r="M1110" s="10"/>
      <c r="N1110" s="10"/>
      <c r="O1110" s="7"/>
      <c r="P1110" s="7"/>
      <c r="Q1110" s="7"/>
      <c r="AB1110" s="7"/>
    </row>
    <row r="1111" spans="3:28" ht="13" x14ac:dyDescent="0.15">
      <c r="C1111" s="7"/>
      <c r="D1111" s="7"/>
      <c r="E1111" s="7"/>
      <c r="F1111" s="9"/>
      <c r="H1111" s="10"/>
      <c r="I1111" s="10"/>
      <c r="J1111" s="10"/>
      <c r="K1111" s="10"/>
      <c r="L1111" s="10"/>
      <c r="M1111" s="10"/>
      <c r="N1111" s="10"/>
      <c r="O1111" s="7"/>
      <c r="P1111" s="7"/>
      <c r="Q1111" s="7"/>
      <c r="AB1111" s="7"/>
    </row>
    <row r="1112" spans="3:28" ht="13" x14ac:dyDescent="0.15">
      <c r="C1112" s="7"/>
      <c r="D1112" s="7"/>
      <c r="E1112" s="7"/>
      <c r="F1112" s="9"/>
      <c r="H1112" s="10"/>
      <c r="I1112" s="10"/>
      <c r="J1112" s="10"/>
      <c r="K1112" s="10"/>
      <c r="L1112" s="10"/>
      <c r="M1112" s="10"/>
      <c r="N1112" s="10"/>
      <c r="O1112" s="7"/>
      <c r="P1112" s="7"/>
      <c r="Q1112" s="7"/>
      <c r="AB1112" s="7"/>
    </row>
    <row r="1113" spans="3:28" ht="13" x14ac:dyDescent="0.15">
      <c r="C1113" s="7"/>
      <c r="D1113" s="7"/>
      <c r="E1113" s="7"/>
      <c r="F1113" s="9"/>
      <c r="H1113" s="10"/>
      <c r="I1113" s="10"/>
      <c r="J1113" s="10"/>
      <c r="K1113" s="10"/>
      <c r="L1113" s="10"/>
      <c r="M1113" s="10"/>
      <c r="N1113" s="10"/>
      <c r="O1113" s="7"/>
      <c r="P1113" s="7"/>
      <c r="Q1113" s="7"/>
      <c r="AB1113" s="7"/>
    </row>
    <row r="1114" spans="3:28" ht="13" x14ac:dyDescent="0.15">
      <c r="C1114" s="7"/>
      <c r="D1114" s="7"/>
      <c r="E1114" s="7"/>
      <c r="F1114" s="9"/>
      <c r="H1114" s="10"/>
      <c r="I1114" s="10"/>
      <c r="J1114" s="10"/>
      <c r="K1114" s="10"/>
      <c r="L1114" s="10"/>
      <c r="M1114" s="10"/>
      <c r="N1114" s="10"/>
      <c r="O1114" s="7"/>
      <c r="P1114" s="7"/>
      <c r="Q1114" s="7"/>
      <c r="AB1114" s="7"/>
    </row>
    <row r="1115" spans="3:28" ht="13" x14ac:dyDescent="0.15">
      <c r="C1115" s="7"/>
      <c r="D1115" s="7"/>
      <c r="E1115" s="7"/>
      <c r="F1115" s="9"/>
      <c r="H1115" s="10"/>
      <c r="I1115" s="10"/>
      <c r="J1115" s="10"/>
      <c r="K1115" s="10"/>
      <c r="L1115" s="10"/>
      <c r="M1115" s="10"/>
      <c r="N1115" s="10"/>
      <c r="O1115" s="7"/>
      <c r="P1115" s="7"/>
      <c r="Q1115" s="7"/>
      <c r="AB1115" s="7"/>
    </row>
    <row r="1116" spans="3:28" ht="13" x14ac:dyDescent="0.15">
      <c r="C1116" s="7"/>
      <c r="D1116" s="7"/>
      <c r="E1116" s="7"/>
      <c r="F1116" s="9"/>
      <c r="H1116" s="10"/>
      <c r="I1116" s="10"/>
      <c r="J1116" s="10"/>
      <c r="K1116" s="10"/>
      <c r="L1116" s="10"/>
      <c r="M1116" s="10"/>
      <c r="N1116" s="10"/>
      <c r="O1116" s="7"/>
      <c r="P1116" s="7"/>
      <c r="Q1116" s="7"/>
      <c r="AB1116" s="7"/>
    </row>
    <row r="1117" spans="3:28" ht="13" x14ac:dyDescent="0.15">
      <c r="C1117" s="7"/>
      <c r="D1117" s="7"/>
      <c r="E1117" s="7"/>
      <c r="F1117" s="9"/>
      <c r="H1117" s="10"/>
      <c r="I1117" s="10"/>
      <c r="J1117" s="10"/>
      <c r="K1117" s="10"/>
      <c r="L1117" s="10"/>
      <c r="M1117" s="10"/>
      <c r="N1117" s="10"/>
      <c r="O1117" s="7"/>
      <c r="P1117" s="7"/>
      <c r="Q1117" s="7"/>
      <c r="AB1117" s="7"/>
    </row>
    <row r="1118" spans="3:28" ht="13" x14ac:dyDescent="0.15">
      <c r="C1118" s="7"/>
      <c r="D1118" s="7"/>
      <c r="E1118" s="7"/>
      <c r="F1118" s="9"/>
      <c r="H1118" s="10"/>
      <c r="I1118" s="10"/>
      <c r="J1118" s="10"/>
      <c r="K1118" s="10"/>
      <c r="L1118" s="10"/>
      <c r="M1118" s="10"/>
      <c r="N1118" s="10"/>
      <c r="O1118" s="7"/>
      <c r="P1118" s="7"/>
      <c r="Q1118" s="7"/>
      <c r="AB1118" s="7"/>
    </row>
    <row r="1119" spans="3:28" ht="13" x14ac:dyDescent="0.15">
      <c r="C1119" s="7"/>
      <c r="D1119" s="7"/>
      <c r="E1119" s="7"/>
      <c r="F1119" s="9"/>
      <c r="H1119" s="10"/>
      <c r="I1119" s="10"/>
      <c r="J1119" s="10"/>
      <c r="K1119" s="10"/>
      <c r="L1119" s="10"/>
      <c r="M1119" s="10"/>
      <c r="N1119" s="10"/>
      <c r="O1119" s="7"/>
      <c r="P1119" s="7"/>
      <c r="Q1119" s="7"/>
      <c r="AB1119" s="7"/>
    </row>
    <row r="1120" spans="3:28" ht="13" x14ac:dyDescent="0.15">
      <c r="C1120" s="7"/>
      <c r="D1120" s="7"/>
      <c r="E1120" s="7"/>
      <c r="F1120" s="9"/>
      <c r="H1120" s="10"/>
      <c r="I1120" s="10"/>
      <c r="J1120" s="10"/>
      <c r="K1120" s="10"/>
      <c r="L1120" s="10"/>
      <c r="M1120" s="10"/>
      <c r="N1120" s="10"/>
      <c r="O1120" s="7"/>
      <c r="P1120" s="7"/>
      <c r="Q1120" s="7"/>
      <c r="AB1120" s="7"/>
    </row>
    <row r="1121" spans="3:28" ht="13" x14ac:dyDescent="0.15">
      <c r="C1121" s="7"/>
      <c r="D1121" s="7"/>
      <c r="E1121" s="7"/>
      <c r="F1121" s="9"/>
      <c r="H1121" s="10"/>
      <c r="I1121" s="10"/>
      <c r="J1121" s="10"/>
      <c r="K1121" s="10"/>
      <c r="L1121" s="10"/>
      <c r="M1121" s="10"/>
      <c r="N1121" s="10"/>
      <c r="O1121" s="7"/>
      <c r="P1121" s="7"/>
      <c r="Q1121" s="7"/>
      <c r="AB1121" s="7"/>
    </row>
    <row r="1122" spans="3:28" ht="13" x14ac:dyDescent="0.15">
      <c r="C1122" s="7"/>
      <c r="D1122" s="7"/>
      <c r="E1122" s="7"/>
      <c r="F1122" s="9"/>
      <c r="H1122" s="10"/>
      <c r="I1122" s="10"/>
      <c r="J1122" s="10"/>
      <c r="K1122" s="10"/>
      <c r="L1122" s="10"/>
      <c r="M1122" s="10"/>
      <c r="N1122" s="10"/>
      <c r="O1122" s="7"/>
      <c r="P1122" s="7"/>
      <c r="Q1122" s="7"/>
      <c r="AB1122" s="7"/>
    </row>
    <row r="1123" spans="3:28" ht="13" x14ac:dyDescent="0.15">
      <c r="C1123" s="7"/>
      <c r="D1123" s="7"/>
      <c r="E1123" s="7"/>
      <c r="F1123" s="9"/>
      <c r="H1123" s="10"/>
      <c r="I1123" s="10"/>
      <c r="J1123" s="10"/>
      <c r="K1123" s="10"/>
      <c r="L1123" s="10"/>
      <c r="M1123" s="10"/>
      <c r="N1123" s="10"/>
      <c r="O1123" s="7"/>
      <c r="P1123" s="7"/>
      <c r="Q1123" s="7"/>
      <c r="AB1123" s="7"/>
    </row>
    <row r="1124" spans="3:28" ht="13" x14ac:dyDescent="0.15">
      <c r="C1124" s="7"/>
      <c r="D1124" s="7"/>
      <c r="E1124" s="7"/>
      <c r="F1124" s="9"/>
      <c r="H1124" s="10"/>
      <c r="I1124" s="10"/>
      <c r="J1124" s="10"/>
      <c r="K1124" s="10"/>
      <c r="L1124" s="10"/>
      <c r="M1124" s="10"/>
      <c r="N1124" s="10"/>
      <c r="O1124" s="7"/>
      <c r="P1124" s="7"/>
      <c r="Q1124" s="7"/>
      <c r="AB1124" s="7"/>
    </row>
    <row r="1125" spans="3:28" ht="13" x14ac:dyDescent="0.15">
      <c r="C1125" s="7"/>
      <c r="D1125" s="7"/>
      <c r="E1125" s="7"/>
      <c r="F1125" s="9"/>
      <c r="H1125" s="10"/>
      <c r="I1125" s="10"/>
      <c r="J1125" s="10"/>
      <c r="K1125" s="10"/>
      <c r="L1125" s="10"/>
      <c r="M1125" s="10"/>
      <c r="N1125" s="10"/>
      <c r="O1125" s="7"/>
      <c r="P1125" s="7"/>
      <c r="Q1125" s="7"/>
      <c r="AB1125" s="7"/>
    </row>
    <row r="1126" spans="3:28" ht="13" x14ac:dyDescent="0.15">
      <c r="C1126" s="7"/>
      <c r="D1126" s="7"/>
      <c r="E1126" s="7"/>
      <c r="F1126" s="9"/>
      <c r="H1126" s="10"/>
      <c r="I1126" s="10"/>
      <c r="J1126" s="10"/>
      <c r="K1126" s="10"/>
      <c r="L1126" s="10"/>
      <c r="M1126" s="10"/>
      <c r="N1126" s="10"/>
      <c r="O1126" s="7"/>
      <c r="P1126" s="7"/>
      <c r="Q1126" s="7"/>
      <c r="AB1126" s="7"/>
    </row>
    <row r="1127" spans="3:28" ht="13" x14ac:dyDescent="0.15">
      <c r="C1127" s="7"/>
      <c r="D1127" s="7"/>
      <c r="E1127" s="7"/>
      <c r="F1127" s="9"/>
      <c r="H1127" s="10"/>
      <c r="I1127" s="10"/>
      <c r="J1127" s="10"/>
      <c r="K1127" s="10"/>
      <c r="L1127" s="10"/>
      <c r="M1127" s="10"/>
      <c r="N1127" s="10"/>
      <c r="O1127" s="7"/>
      <c r="P1127" s="7"/>
      <c r="Q1127" s="7"/>
      <c r="AB1127" s="7"/>
    </row>
    <row r="1128" spans="3:28" ht="13" x14ac:dyDescent="0.15">
      <c r="C1128" s="7"/>
      <c r="D1128" s="7"/>
      <c r="E1128" s="7"/>
      <c r="F1128" s="9"/>
      <c r="H1128" s="10"/>
      <c r="I1128" s="10"/>
      <c r="J1128" s="10"/>
      <c r="K1128" s="10"/>
      <c r="L1128" s="10"/>
      <c r="M1128" s="10"/>
      <c r="N1128" s="10"/>
      <c r="O1128" s="7"/>
      <c r="P1128" s="7"/>
      <c r="Q1128" s="7"/>
      <c r="AB1128" s="7"/>
    </row>
    <row r="1129" spans="3:28" ht="13" x14ac:dyDescent="0.15">
      <c r="C1129" s="7"/>
      <c r="D1129" s="7"/>
      <c r="E1129" s="7"/>
      <c r="F1129" s="9"/>
      <c r="H1129" s="10"/>
      <c r="I1129" s="10"/>
      <c r="J1129" s="10"/>
      <c r="K1129" s="10"/>
      <c r="L1129" s="10"/>
      <c r="M1129" s="10"/>
      <c r="N1129" s="10"/>
      <c r="O1129" s="7"/>
      <c r="P1129" s="7"/>
      <c r="Q1129" s="7"/>
      <c r="AB1129" s="7"/>
    </row>
    <row r="1130" spans="3:28" ht="13" x14ac:dyDescent="0.15">
      <c r="C1130" s="7"/>
      <c r="D1130" s="7"/>
      <c r="E1130" s="7"/>
      <c r="F1130" s="9"/>
      <c r="H1130" s="10"/>
      <c r="I1130" s="10"/>
      <c r="J1130" s="10"/>
      <c r="K1130" s="10"/>
      <c r="L1130" s="10"/>
      <c r="M1130" s="10"/>
      <c r="N1130" s="10"/>
      <c r="O1130" s="7"/>
      <c r="P1130" s="7"/>
      <c r="Q1130" s="7"/>
      <c r="AB1130" s="7"/>
    </row>
    <row r="1131" spans="3:28" ht="13" x14ac:dyDescent="0.15">
      <c r="C1131" s="7"/>
      <c r="D1131" s="7"/>
      <c r="E1131" s="7"/>
      <c r="F1131" s="9"/>
      <c r="H1131" s="10"/>
      <c r="I1131" s="10"/>
      <c r="J1131" s="10"/>
      <c r="K1131" s="10"/>
      <c r="L1131" s="10"/>
      <c r="M1131" s="10"/>
      <c r="N1131" s="10"/>
      <c r="O1131" s="7"/>
      <c r="P1131" s="7"/>
      <c r="Q1131" s="7"/>
      <c r="AB1131" s="7"/>
    </row>
    <row r="1132" spans="3:28" ht="13" x14ac:dyDescent="0.15">
      <c r="C1132" s="7"/>
      <c r="D1132" s="7"/>
      <c r="E1132" s="7"/>
      <c r="F1132" s="9"/>
      <c r="H1132" s="10"/>
      <c r="I1132" s="10"/>
      <c r="J1132" s="10"/>
      <c r="K1132" s="10"/>
      <c r="L1132" s="10"/>
      <c r="M1132" s="10"/>
      <c r="N1132" s="10"/>
      <c r="O1132" s="7"/>
      <c r="P1132" s="7"/>
      <c r="Q1132" s="7"/>
      <c r="AB1132" s="7"/>
    </row>
    <row r="1133" spans="3:28" ht="13" x14ac:dyDescent="0.15">
      <c r="C1133" s="7"/>
      <c r="D1133" s="7"/>
      <c r="E1133" s="7"/>
      <c r="F1133" s="9"/>
      <c r="H1133" s="10"/>
      <c r="I1133" s="10"/>
      <c r="J1133" s="10"/>
      <c r="K1133" s="10"/>
      <c r="L1133" s="10"/>
      <c r="M1133" s="10"/>
      <c r="N1133" s="10"/>
      <c r="O1133" s="7"/>
      <c r="P1133" s="7"/>
      <c r="Q1133" s="7"/>
      <c r="AB1133" s="7"/>
    </row>
    <row r="1134" spans="3:28" ht="13" x14ac:dyDescent="0.15">
      <c r="C1134" s="7"/>
      <c r="D1134" s="7"/>
      <c r="E1134" s="7"/>
      <c r="F1134" s="9"/>
      <c r="H1134" s="10"/>
      <c r="I1134" s="10"/>
      <c r="J1134" s="10"/>
      <c r="K1134" s="10"/>
      <c r="L1134" s="10"/>
      <c r="M1134" s="10"/>
      <c r="N1134" s="10"/>
      <c r="O1134" s="7"/>
      <c r="P1134" s="7"/>
      <c r="Q1134" s="7"/>
      <c r="AB1134" s="7"/>
    </row>
    <row r="1135" spans="3:28" ht="13" x14ac:dyDescent="0.15">
      <c r="C1135" s="7"/>
      <c r="D1135" s="7"/>
      <c r="E1135" s="7"/>
      <c r="F1135" s="9"/>
      <c r="H1135" s="10"/>
      <c r="I1135" s="10"/>
      <c r="J1135" s="10"/>
      <c r="K1135" s="10"/>
      <c r="L1135" s="10"/>
      <c r="M1135" s="10"/>
      <c r="N1135" s="10"/>
      <c r="O1135" s="7"/>
      <c r="P1135" s="7"/>
      <c r="Q1135" s="7"/>
      <c r="AB1135" s="7"/>
    </row>
    <row r="1136" spans="3:28" ht="13" x14ac:dyDescent="0.15">
      <c r="C1136" s="7"/>
      <c r="D1136" s="7"/>
      <c r="E1136" s="7"/>
      <c r="F1136" s="9"/>
      <c r="H1136" s="10"/>
      <c r="I1136" s="10"/>
      <c r="J1136" s="10"/>
      <c r="K1136" s="10"/>
      <c r="L1136" s="10"/>
      <c r="M1136" s="10"/>
      <c r="N1136" s="10"/>
      <c r="O1136" s="7"/>
      <c r="P1136" s="7"/>
      <c r="Q1136" s="7"/>
      <c r="AB1136" s="7"/>
    </row>
    <row r="1137" spans="3:28" ht="13" x14ac:dyDescent="0.15">
      <c r="C1137" s="7"/>
      <c r="D1137" s="7"/>
      <c r="E1137" s="7"/>
      <c r="F1137" s="9"/>
      <c r="H1137" s="10"/>
      <c r="I1137" s="10"/>
      <c r="J1137" s="10"/>
      <c r="K1137" s="10"/>
      <c r="L1137" s="10"/>
      <c r="M1137" s="10"/>
      <c r="N1137" s="10"/>
      <c r="O1137" s="7"/>
      <c r="P1137" s="7"/>
      <c r="Q1137" s="7"/>
      <c r="AB1137" s="7"/>
    </row>
    <row r="1138" spans="3:28" ht="13" x14ac:dyDescent="0.15">
      <c r="C1138" s="7"/>
      <c r="D1138" s="7"/>
      <c r="E1138" s="7"/>
      <c r="F1138" s="9"/>
      <c r="H1138" s="10"/>
      <c r="I1138" s="10"/>
      <c r="J1138" s="10"/>
      <c r="K1138" s="10"/>
      <c r="L1138" s="10"/>
      <c r="M1138" s="10"/>
      <c r="N1138" s="10"/>
      <c r="O1138" s="7"/>
      <c r="P1138" s="7"/>
      <c r="Q1138" s="7"/>
      <c r="AB1138" s="7"/>
    </row>
    <row r="1139" spans="3:28" ht="13" x14ac:dyDescent="0.15">
      <c r="C1139" s="7"/>
      <c r="D1139" s="7"/>
      <c r="E1139" s="7"/>
      <c r="F1139" s="9"/>
      <c r="H1139" s="10"/>
      <c r="I1139" s="10"/>
      <c r="J1139" s="10"/>
      <c r="K1139" s="10"/>
      <c r="L1139" s="10"/>
      <c r="M1139" s="10"/>
      <c r="N1139" s="10"/>
      <c r="O1139" s="7"/>
      <c r="P1139" s="7"/>
      <c r="Q1139" s="7"/>
      <c r="AB1139" s="7"/>
    </row>
    <row r="1140" spans="3:28" ht="13" x14ac:dyDescent="0.15">
      <c r="C1140" s="7"/>
      <c r="D1140" s="7"/>
      <c r="E1140" s="7"/>
      <c r="F1140" s="9"/>
      <c r="H1140" s="10"/>
      <c r="I1140" s="10"/>
      <c r="J1140" s="10"/>
      <c r="K1140" s="10"/>
      <c r="L1140" s="10"/>
      <c r="M1140" s="10"/>
      <c r="N1140" s="10"/>
      <c r="O1140" s="7"/>
      <c r="P1140" s="7"/>
      <c r="Q1140" s="7"/>
      <c r="AB1140" s="7"/>
    </row>
    <row r="1141" spans="3:28" ht="13" x14ac:dyDescent="0.15">
      <c r="C1141" s="7"/>
      <c r="D1141" s="7"/>
      <c r="E1141" s="7"/>
      <c r="F1141" s="9"/>
      <c r="H1141" s="10"/>
      <c r="I1141" s="10"/>
      <c r="J1141" s="10"/>
      <c r="K1141" s="10"/>
      <c r="L1141" s="10"/>
      <c r="M1141" s="10"/>
      <c r="N1141" s="10"/>
      <c r="O1141" s="7"/>
      <c r="P1141" s="7"/>
      <c r="Q1141" s="7"/>
      <c r="AB1141" s="7"/>
    </row>
    <row r="1142" spans="3:28" ht="13" x14ac:dyDescent="0.15">
      <c r="C1142" s="7"/>
      <c r="D1142" s="7"/>
      <c r="E1142" s="7"/>
      <c r="F1142" s="9"/>
      <c r="H1142" s="10"/>
      <c r="I1142" s="10"/>
      <c r="J1142" s="10"/>
      <c r="K1142" s="10"/>
      <c r="L1142" s="10"/>
      <c r="M1142" s="10"/>
      <c r="N1142" s="10"/>
      <c r="O1142" s="7"/>
      <c r="P1142" s="7"/>
      <c r="Q1142" s="7"/>
      <c r="AB1142" s="7"/>
    </row>
    <row r="1143" spans="3:28" ht="13" x14ac:dyDescent="0.15">
      <c r="C1143" s="7"/>
      <c r="D1143" s="7"/>
      <c r="E1143" s="7"/>
      <c r="F1143" s="9"/>
      <c r="H1143" s="10"/>
      <c r="I1143" s="10"/>
      <c r="J1143" s="10"/>
      <c r="K1143" s="10"/>
      <c r="L1143" s="10"/>
      <c r="M1143" s="10"/>
      <c r="N1143" s="10"/>
      <c r="O1143" s="7"/>
      <c r="P1143" s="7"/>
      <c r="Q1143" s="7"/>
      <c r="AB1143" s="7"/>
    </row>
    <row r="1144" spans="3:28" ht="13" x14ac:dyDescent="0.15">
      <c r="C1144" s="7"/>
      <c r="D1144" s="7"/>
      <c r="E1144" s="7"/>
      <c r="F1144" s="9"/>
      <c r="H1144" s="10"/>
      <c r="I1144" s="10"/>
      <c r="J1144" s="10"/>
      <c r="K1144" s="10"/>
      <c r="L1144" s="10"/>
      <c r="M1144" s="10"/>
      <c r="N1144" s="10"/>
      <c r="O1144" s="7"/>
      <c r="P1144" s="7"/>
      <c r="Q1144" s="7"/>
      <c r="AB1144" s="7"/>
    </row>
    <row r="1145" spans="3:28" ht="13" x14ac:dyDescent="0.15">
      <c r="C1145" s="7"/>
      <c r="D1145" s="7"/>
      <c r="E1145" s="7"/>
      <c r="F1145" s="9"/>
      <c r="H1145" s="10"/>
      <c r="I1145" s="10"/>
      <c r="J1145" s="10"/>
      <c r="K1145" s="10"/>
      <c r="L1145" s="10"/>
      <c r="M1145" s="10"/>
      <c r="N1145" s="10"/>
      <c r="O1145" s="7"/>
      <c r="P1145" s="7"/>
      <c r="Q1145" s="7"/>
      <c r="AB1145" s="7"/>
    </row>
    <row r="1146" spans="3:28" ht="13" x14ac:dyDescent="0.15">
      <c r="C1146" s="7"/>
      <c r="D1146" s="7"/>
      <c r="E1146" s="7"/>
      <c r="F1146" s="9"/>
      <c r="H1146" s="10"/>
      <c r="I1146" s="10"/>
      <c r="J1146" s="10"/>
      <c r="K1146" s="10"/>
      <c r="L1146" s="10"/>
      <c r="M1146" s="10"/>
      <c r="N1146" s="10"/>
      <c r="O1146" s="7"/>
      <c r="P1146" s="7"/>
      <c r="Q1146" s="7"/>
      <c r="AB1146" s="7"/>
    </row>
    <row r="1147" spans="3:28" ht="13" x14ac:dyDescent="0.15">
      <c r="C1147" s="7"/>
      <c r="D1147" s="7"/>
      <c r="E1147" s="7"/>
      <c r="F1147" s="9"/>
      <c r="H1147" s="10"/>
      <c r="I1147" s="10"/>
      <c r="J1147" s="10"/>
      <c r="K1147" s="10"/>
      <c r="L1147" s="10"/>
      <c r="M1147" s="10"/>
      <c r="N1147" s="10"/>
      <c r="O1147" s="7"/>
      <c r="P1147" s="7"/>
      <c r="Q1147" s="7"/>
      <c r="AB1147" s="7"/>
    </row>
    <row r="1148" spans="3:28" ht="13" x14ac:dyDescent="0.15">
      <c r="C1148" s="7"/>
      <c r="D1148" s="7"/>
      <c r="E1148" s="7"/>
      <c r="F1148" s="9"/>
      <c r="H1148" s="10"/>
      <c r="I1148" s="10"/>
      <c r="J1148" s="10"/>
      <c r="K1148" s="10"/>
      <c r="L1148" s="10"/>
      <c r="M1148" s="10"/>
      <c r="N1148" s="10"/>
      <c r="O1148" s="7"/>
      <c r="P1148" s="7"/>
      <c r="Q1148" s="7"/>
      <c r="AB1148" s="7"/>
    </row>
    <row r="1149" spans="3:28" ht="13" x14ac:dyDescent="0.15">
      <c r="C1149" s="7"/>
      <c r="D1149" s="7"/>
      <c r="E1149" s="7"/>
      <c r="F1149" s="9"/>
      <c r="H1149" s="10"/>
      <c r="I1149" s="10"/>
      <c r="J1149" s="10"/>
      <c r="K1149" s="10"/>
      <c r="L1149" s="10"/>
      <c r="M1149" s="10"/>
      <c r="N1149" s="10"/>
      <c r="O1149" s="7"/>
      <c r="P1149" s="7"/>
      <c r="Q1149" s="7"/>
      <c r="AB1149" s="7"/>
    </row>
    <row r="1150" spans="3:28" ht="13" x14ac:dyDescent="0.15">
      <c r="C1150" s="7"/>
      <c r="D1150" s="7"/>
      <c r="E1150" s="7"/>
      <c r="F1150" s="9"/>
      <c r="H1150" s="10"/>
      <c r="I1150" s="10"/>
      <c r="J1150" s="10"/>
      <c r="K1150" s="10"/>
      <c r="L1150" s="10"/>
      <c r="M1150" s="10"/>
      <c r="N1150" s="10"/>
      <c r="O1150" s="7"/>
      <c r="P1150" s="7"/>
      <c r="Q1150" s="7"/>
      <c r="AB1150" s="7"/>
    </row>
    <row r="1151" spans="3:28" ht="13" x14ac:dyDescent="0.15">
      <c r="C1151" s="7"/>
      <c r="D1151" s="7"/>
      <c r="E1151" s="7"/>
      <c r="F1151" s="9"/>
      <c r="H1151" s="10"/>
      <c r="I1151" s="10"/>
      <c r="J1151" s="10"/>
      <c r="K1151" s="10"/>
      <c r="L1151" s="10"/>
      <c r="M1151" s="10"/>
      <c r="N1151" s="10"/>
      <c r="O1151" s="7"/>
      <c r="P1151" s="7"/>
      <c r="Q1151" s="7"/>
      <c r="AB1151" s="7"/>
    </row>
    <row r="1152" spans="3:28" ht="13" x14ac:dyDescent="0.15">
      <c r="C1152" s="7"/>
      <c r="D1152" s="7"/>
      <c r="E1152" s="7"/>
      <c r="F1152" s="9"/>
      <c r="H1152" s="10"/>
      <c r="I1152" s="10"/>
      <c r="J1152" s="10"/>
      <c r="K1152" s="10"/>
      <c r="L1152" s="10"/>
      <c r="M1152" s="10"/>
      <c r="N1152" s="10"/>
      <c r="O1152" s="7"/>
      <c r="P1152" s="7"/>
      <c r="Q1152" s="7"/>
      <c r="AB1152" s="7"/>
    </row>
    <row r="1153" spans="3:28" ht="13" x14ac:dyDescent="0.15">
      <c r="C1153" s="7"/>
      <c r="D1153" s="7"/>
      <c r="E1153" s="7"/>
      <c r="F1153" s="9"/>
      <c r="H1153" s="10"/>
      <c r="I1153" s="10"/>
      <c r="J1153" s="10"/>
      <c r="K1153" s="10"/>
      <c r="L1153" s="10"/>
      <c r="M1153" s="10"/>
      <c r="N1153" s="10"/>
      <c r="O1153" s="7"/>
      <c r="P1153" s="7"/>
      <c r="Q1153" s="7"/>
      <c r="AB1153" s="7"/>
    </row>
    <row r="1154" spans="3:28" ht="13" x14ac:dyDescent="0.15">
      <c r="C1154" s="7"/>
      <c r="D1154" s="7"/>
      <c r="E1154" s="7"/>
      <c r="F1154" s="9"/>
      <c r="H1154" s="10"/>
      <c r="I1154" s="10"/>
      <c r="J1154" s="10"/>
      <c r="K1154" s="10"/>
      <c r="L1154" s="10"/>
      <c r="M1154" s="10"/>
      <c r="N1154" s="10"/>
      <c r="O1154" s="7"/>
      <c r="P1154" s="7"/>
      <c r="Q1154" s="7"/>
      <c r="AB1154" s="7"/>
    </row>
    <row r="1155" spans="3:28" ht="13" x14ac:dyDescent="0.15">
      <c r="C1155" s="7"/>
      <c r="D1155" s="7"/>
      <c r="E1155" s="7"/>
      <c r="F1155" s="9"/>
      <c r="H1155" s="10"/>
      <c r="I1155" s="10"/>
      <c r="J1155" s="10"/>
      <c r="K1155" s="10"/>
      <c r="L1155" s="10"/>
      <c r="M1155" s="10"/>
      <c r="N1155" s="10"/>
      <c r="O1155" s="7"/>
      <c r="P1155" s="7"/>
      <c r="Q1155" s="7"/>
      <c r="AB1155" s="7"/>
    </row>
    <row r="1156" spans="3:28" ht="13" x14ac:dyDescent="0.15">
      <c r="C1156" s="7"/>
      <c r="D1156" s="7"/>
      <c r="E1156" s="7"/>
      <c r="F1156" s="9"/>
      <c r="H1156" s="10"/>
      <c r="I1156" s="10"/>
      <c r="J1156" s="10"/>
      <c r="K1156" s="10"/>
      <c r="L1156" s="10"/>
      <c r="M1156" s="10"/>
      <c r="N1156" s="10"/>
      <c r="O1156" s="7"/>
      <c r="P1156" s="7"/>
      <c r="Q1156" s="7"/>
      <c r="AB1156" s="7"/>
    </row>
    <row r="1157" spans="3:28" ht="13" x14ac:dyDescent="0.15">
      <c r="C1157" s="7"/>
      <c r="D1157" s="7"/>
      <c r="E1157" s="7"/>
      <c r="F1157" s="9"/>
      <c r="H1157" s="10"/>
      <c r="I1157" s="10"/>
      <c r="J1157" s="10"/>
      <c r="K1157" s="10"/>
      <c r="L1157" s="10"/>
      <c r="M1157" s="10"/>
      <c r="N1157" s="10"/>
      <c r="O1157" s="7"/>
      <c r="P1157" s="7"/>
      <c r="Q1157" s="7"/>
      <c r="AB1157" s="7"/>
    </row>
    <row r="1158" spans="3:28" ht="13" x14ac:dyDescent="0.15">
      <c r="C1158" s="7"/>
      <c r="D1158" s="7"/>
      <c r="E1158" s="7"/>
      <c r="F1158" s="9"/>
      <c r="H1158" s="10"/>
      <c r="I1158" s="10"/>
      <c r="J1158" s="10"/>
      <c r="K1158" s="10"/>
      <c r="L1158" s="10"/>
      <c r="M1158" s="10"/>
      <c r="N1158" s="10"/>
      <c r="O1158" s="7"/>
      <c r="P1158" s="7"/>
      <c r="Q1158" s="7"/>
      <c r="AB1158" s="7"/>
    </row>
    <row r="1159" spans="3:28" ht="13" x14ac:dyDescent="0.15">
      <c r="C1159" s="7"/>
      <c r="D1159" s="7"/>
      <c r="E1159" s="7"/>
      <c r="F1159" s="9"/>
      <c r="H1159" s="10"/>
      <c r="I1159" s="10"/>
      <c r="J1159" s="10"/>
      <c r="K1159" s="10"/>
      <c r="L1159" s="10"/>
      <c r="M1159" s="10"/>
      <c r="N1159" s="10"/>
      <c r="O1159" s="7"/>
      <c r="P1159" s="7"/>
      <c r="Q1159" s="7"/>
      <c r="AB1159" s="7"/>
    </row>
    <row r="1160" spans="3:28" ht="13" x14ac:dyDescent="0.15">
      <c r="C1160" s="7"/>
      <c r="D1160" s="7"/>
      <c r="E1160" s="7"/>
      <c r="F1160" s="9"/>
      <c r="H1160" s="10"/>
      <c r="I1160" s="10"/>
      <c r="J1160" s="10"/>
      <c r="K1160" s="10"/>
      <c r="L1160" s="10"/>
      <c r="M1160" s="10"/>
      <c r="N1160" s="10"/>
      <c r="O1160" s="7"/>
      <c r="P1160" s="7"/>
      <c r="Q1160" s="7"/>
      <c r="AB1160" s="7"/>
    </row>
    <row r="1161" spans="3:28" ht="13" x14ac:dyDescent="0.15">
      <c r="C1161" s="7"/>
      <c r="D1161" s="7"/>
      <c r="E1161" s="7"/>
      <c r="F1161" s="9"/>
      <c r="H1161" s="10"/>
      <c r="I1161" s="10"/>
      <c r="J1161" s="10"/>
      <c r="K1161" s="10"/>
      <c r="L1161" s="10"/>
      <c r="M1161" s="10"/>
      <c r="N1161" s="10"/>
      <c r="O1161" s="7"/>
      <c r="P1161" s="7"/>
      <c r="Q1161" s="7"/>
      <c r="AB1161" s="7"/>
    </row>
    <row r="1162" spans="3:28" ht="13" x14ac:dyDescent="0.15">
      <c r="C1162" s="7"/>
      <c r="D1162" s="7"/>
      <c r="E1162" s="7"/>
      <c r="F1162" s="9"/>
      <c r="H1162" s="10"/>
      <c r="I1162" s="10"/>
      <c r="J1162" s="10"/>
      <c r="K1162" s="10"/>
      <c r="L1162" s="10"/>
      <c r="M1162" s="10"/>
      <c r="N1162" s="10"/>
      <c r="O1162" s="7"/>
      <c r="P1162" s="7"/>
      <c r="Q1162" s="7"/>
      <c r="AB1162" s="7"/>
    </row>
    <row r="1163" spans="3:28" ht="13" x14ac:dyDescent="0.15">
      <c r="C1163" s="7"/>
      <c r="D1163" s="7"/>
      <c r="E1163" s="7"/>
      <c r="F1163" s="9"/>
      <c r="H1163" s="10"/>
      <c r="I1163" s="10"/>
      <c r="J1163" s="10"/>
      <c r="K1163" s="10"/>
      <c r="L1163" s="10"/>
      <c r="M1163" s="10"/>
      <c r="N1163" s="10"/>
      <c r="O1163" s="7"/>
      <c r="P1163" s="7"/>
      <c r="Q1163" s="7"/>
      <c r="AB1163" s="7"/>
    </row>
    <row r="1164" spans="3:28" ht="13" x14ac:dyDescent="0.15">
      <c r="C1164" s="7"/>
      <c r="D1164" s="7"/>
      <c r="E1164" s="7"/>
      <c r="F1164" s="9"/>
      <c r="H1164" s="10"/>
      <c r="I1164" s="10"/>
      <c r="J1164" s="10"/>
      <c r="K1164" s="10"/>
      <c r="L1164" s="10"/>
      <c r="M1164" s="10"/>
      <c r="N1164" s="10"/>
      <c r="O1164" s="7"/>
      <c r="P1164" s="7"/>
      <c r="Q1164" s="7"/>
      <c r="AB1164" s="7"/>
    </row>
    <row r="1165" spans="3:28" ht="13" x14ac:dyDescent="0.15">
      <c r="C1165" s="7"/>
      <c r="D1165" s="7"/>
      <c r="E1165" s="7"/>
      <c r="F1165" s="9"/>
      <c r="H1165" s="10"/>
      <c r="I1165" s="10"/>
      <c r="J1165" s="10"/>
      <c r="K1165" s="10"/>
      <c r="L1165" s="10"/>
      <c r="M1165" s="10"/>
      <c r="N1165" s="10"/>
      <c r="O1165" s="7"/>
      <c r="P1165" s="7"/>
      <c r="Q1165" s="7"/>
      <c r="AB1165" s="7"/>
    </row>
    <row r="1166" spans="3:28" ht="13" x14ac:dyDescent="0.15">
      <c r="C1166" s="7"/>
      <c r="D1166" s="7"/>
      <c r="E1166" s="7"/>
      <c r="F1166" s="9"/>
      <c r="H1166" s="10"/>
      <c r="I1166" s="10"/>
      <c r="J1166" s="10"/>
      <c r="K1166" s="10"/>
      <c r="L1166" s="10"/>
      <c r="M1166" s="10"/>
      <c r="N1166" s="10"/>
      <c r="O1166" s="7"/>
      <c r="P1166" s="7"/>
      <c r="Q1166" s="7"/>
      <c r="AB1166" s="7"/>
    </row>
    <row r="1167" spans="3:28" ht="13" x14ac:dyDescent="0.15">
      <c r="C1167" s="7"/>
      <c r="D1167" s="7"/>
      <c r="E1167" s="7"/>
      <c r="F1167" s="9"/>
      <c r="H1167" s="10"/>
      <c r="I1167" s="10"/>
      <c r="J1167" s="10"/>
      <c r="K1167" s="10"/>
      <c r="L1167" s="10"/>
      <c r="M1167" s="10"/>
      <c r="N1167" s="10"/>
      <c r="O1167" s="7"/>
      <c r="P1167" s="7"/>
      <c r="Q1167" s="7"/>
      <c r="AB1167" s="7"/>
    </row>
    <row r="1168" spans="3:28" ht="13" x14ac:dyDescent="0.15">
      <c r="C1168" s="7"/>
      <c r="D1168" s="7"/>
      <c r="E1168" s="7"/>
      <c r="F1168" s="9"/>
      <c r="H1168" s="10"/>
      <c r="I1168" s="10"/>
      <c r="J1168" s="10"/>
      <c r="K1168" s="10"/>
      <c r="L1168" s="10"/>
      <c r="M1168" s="10"/>
      <c r="N1168" s="10"/>
      <c r="O1168" s="7"/>
      <c r="P1168" s="7"/>
      <c r="Q1168" s="7"/>
      <c r="AB1168" s="7"/>
    </row>
    <row r="1169" spans="3:28" ht="13" x14ac:dyDescent="0.15">
      <c r="C1169" s="7"/>
      <c r="D1169" s="7"/>
      <c r="E1169" s="7"/>
      <c r="F1169" s="9"/>
      <c r="H1169" s="10"/>
      <c r="I1169" s="10"/>
      <c r="J1169" s="10"/>
      <c r="K1169" s="10"/>
      <c r="L1169" s="10"/>
      <c r="M1169" s="10"/>
      <c r="N1169" s="10"/>
      <c r="O1169" s="7"/>
      <c r="P1169" s="7"/>
      <c r="Q1169" s="7"/>
      <c r="AB1169" s="7"/>
    </row>
    <row r="1170" spans="3:28" ht="13" x14ac:dyDescent="0.15">
      <c r="C1170" s="7"/>
      <c r="D1170" s="7"/>
      <c r="E1170" s="7"/>
      <c r="F1170" s="9"/>
      <c r="H1170" s="10"/>
      <c r="I1170" s="10"/>
      <c r="J1170" s="10"/>
      <c r="K1170" s="10"/>
      <c r="L1170" s="10"/>
      <c r="M1170" s="10"/>
      <c r="N1170" s="10"/>
      <c r="O1170" s="7"/>
      <c r="P1170" s="7"/>
      <c r="Q1170" s="7"/>
      <c r="AB1170" s="7"/>
    </row>
    <row r="1171" spans="3:28" ht="13" x14ac:dyDescent="0.15">
      <c r="C1171" s="7"/>
      <c r="D1171" s="7"/>
      <c r="E1171" s="7"/>
      <c r="F1171" s="9"/>
      <c r="H1171" s="10"/>
      <c r="I1171" s="10"/>
      <c r="J1171" s="10"/>
      <c r="K1171" s="10"/>
      <c r="L1171" s="10"/>
      <c r="M1171" s="10"/>
      <c r="N1171" s="10"/>
      <c r="O1171" s="7"/>
      <c r="P1171" s="7"/>
      <c r="Q1171" s="7"/>
      <c r="AB1171" s="7"/>
    </row>
    <row r="1172" spans="3:28" ht="13" x14ac:dyDescent="0.15">
      <c r="C1172" s="7"/>
      <c r="D1172" s="7"/>
      <c r="E1172" s="7"/>
      <c r="F1172" s="9"/>
      <c r="H1172" s="10"/>
      <c r="I1172" s="10"/>
      <c r="J1172" s="10"/>
      <c r="K1172" s="10"/>
      <c r="L1172" s="10"/>
      <c r="M1172" s="10"/>
      <c r="N1172" s="10"/>
      <c r="O1172" s="7"/>
      <c r="P1172" s="7"/>
      <c r="Q1172" s="7"/>
      <c r="AB1172" s="7"/>
    </row>
    <row r="1173" spans="3:28" ht="13" x14ac:dyDescent="0.15">
      <c r="C1173" s="7"/>
      <c r="D1173" s="7"/>
      <c r="E1173" s="7"/>
      <c r="F1173" s="9"/>
      <c r="H1173" s="10"/>
      <c r="I1173" s="10"/>
      <c r="J1173" s="10"/>
      <c r="K1173" s="10"/>
      <c r="L1173" s="10"/>
      <c r="M1173" s="10"/>
      <c r="N1173" s="10"/>
      <c r="O1173" s="7"/>
      <c r="P1173" s="7"/>
      <c r="Q1173" s="7"/>
      <c r="AB1173" s="7"/>
    </row>
    <row r="1174" spans="3:28" ht="13" x14ac:dyDescent="0.15">
      <c r="C1174" s="7"/>
      <c r="D1174" s="7"/>
      <c r="E1174" s="7"/>
      <c r="F1174" s="9"/>
      <c r="H1174" s="10"/>
      <c r="I1174" s="10"/>
      <c r="J1174" s="10"/>
      <c r="K1174" s="10"/>
      <c r="L1174" s="10"/>
      <c r="M1174" s="10"/>
      <c r="N1174" s="10"/>
      <c r="O1174" s="7"/>
      <c r="P1174" s="7"/>
      <c r="Q1174" s="7"/>
      <c r="AB1174" s="7"/>
    </row>
    <row r="1175" spans="3:28" ht="13" x14ac:dyDescent="0.15">
      <c r="C1175" s="7"/>
      <c r="D1175" s="7"/>
      <c r="E1175" s="7"/>
      <c r="F1175" s="9"/>
      <c r="H1175" s="10"/>
      <c r="I1175" s="10"/>
      <c r="J1175" s="10"/>
      <c r="K1175" s="10"/>
      <c r="L1175" s="10"/>
      <c r="M1175" s="10"/>
      <c r="N1175" s="10"/>
      <c r="O1175" s="7"/>
      <c r="P1175" s="7"/>
      <c r="Q1175" s="7"/>
      <c r="AB1175" s="7"/>
    </row>
    <row r="1176" spans="3:28" ht="13" x14ac:dyDescent="0.15">
      <c r="C1176" s="7"/>
      <c r="D1176" s="7"/>
      <c r="E1176" s="7"/>
      <c r="F1176" s="9"/>
      <c r="H1176" s="10"/>
      <c r="I1176" s="10"/>
      <c r="J1176" s="10"/>
      <c r="K1176" s="10"/>
      <c r="L1176" s="10"/>
      <c r="M1176" s="10"/>
      <c r="N1176" s="10"/>
      <c r="O1176" s="7"/>
      <c r="P1176" s="7"/>
      <c r="Q1176" s="7"/>
      <c r="AB1176" s="7"/>
    </row>
    <row r="1177" spans="3:28" ht="13" x14ac:dyDescent="0.15">
      <c r="C1177" s="7"/>
      <c r="D1177" s="7"/>
      <c r="E1177" s="7"/>
      <c r="F1177" s="9"/>
      <c r="H1177" s="10"/>
      <c r="I1177" s="10"/>
      <c r="J1177" s="10"/>
      <c r="K1177" s="10"/>
      <c r="L1177" s="10"/>
      <c r="M1177" s="10"/>
      <c r="N1177" s="10"/>
      <c r="O1177" s="7"/>
      <c r="P1177" s="7"/>
      <c r="Q1177" s="7"/>
      <c r="AB1177" s="7"/>
    </row>
    <row r="1178" spans="3:28" ht="13" x14ac:dyDescent="0.15">
      <c r="C1178" s="7"/>
      <c r="D1178" s="7"/>
      <c r="E1178" s="7"/>
      <c r="F1178" s="9"/>
      <c r="H1178" s="10"/>
      <c r="I1178" s="10"/>
      <c r="J1178" s="10"/>
      <c r="K1178" s="10"/>
      <c r="L1178" s="10"/>
      <c r="M1178" s="10"/>
      <c r="N1178" s="10"/>
      <c r="O1178" s="7"/>
      <c r="P1178" s="7"/>
      <c r="Q1178" s="7"/>
      <c r="AB1178" s="7"/>
    </row>
    <row r="1179" spans="3:28" ht="13" x14ac:dyDescent="0.15">
      <c r="C1179" s="7"/>
      <c r="D1179" s="7"/>
      <c r="E1179" s="7"/>
      <c r="F1179" s="9"/>
      <c r="H1179" s="10"/>
      <c r="I1179" s="10"/>
      <c r="J1179" s="10"/>
      <c r="K1179" s="10"/>
      <c r="L1179" s="10"/>
      <c r="M1179" s="10"/>
      <c r="N1179" s="10"/>
      <c r="O1179" s="7"/>
      <c r="P1179" s="7"/>
      <c r="Q1179" s="7"/>
      <c r="AB1179" s="7"/>
    </row>
    <row r="1180" spans="3:28" ht="13" x14ac:dyDescent="0.15">
      <c r="C1180" s="7"/>
      <c r="D1180" s="7"/>
      <c r="E1180" s="7"/>
      <c r="F1180" s="9"/>
      <c r="H1180" s="10"/>
      <c r="I1180" s="10"/>
      <c r="J1180" s="10"/>
      <c r="K1180" s="10"/>
      <c r="L1180" s="10"/>
      <c r="M1180" s="10"/>
      <c r="N1180" s="10"/>
      <c r="O1180" s="7"/>
      <c r="P1180" s="7"/>
      <c r="Q1180" s="7"/>
      <c r="AB1180" s="7"/>
    </row>
    <row r="1181" spans="3:28" ht="13" x14ac:dyDescent="0.15">
      <c r="C1181" s="7"/>
      <c r="D1181" s="7"/>
      <c r="E1181" s="7"/>
      <c r="F1181" s="9"/>
      <c r="H1181" s="10"/>
      <c r="I1181" s="10"/>
      <c r="J1181" s="10"/>
      <c r="K1181" s="10"/>
      <c r="L1181" s="10"/>
      <c r="M1181" s="10"/>
      <c r="N1181" s="10"/>
      <c r="O1181" s="7"/>
      <c r="P1181" s="7"/>
      <c r="Q1181" s="7"/>
      <c r="AB1181" s="7"/>
    </row>
    <row r="1182" spans="3:28" ht="13" x14ac:dyDescent="0.15">
      <c r="C1182" s="7"/>
      <c r="D1182" s="7"/>
      <c r="E1182" s="7"/>
      <c r="F1182" s="9"/>
      <c r="H1182" s="10"/>
      <c r="I1182" s="10"/>
      <c r="J1182" s="10"/>
      <c r="K1182" s="10"/>
      <c r="L1182" s="10"/>
      <c r="M1182" s="10"/>
      <c r="N1182" s="10"/>
      <c r="O1182" s="7"/>
      <c r="P1182" s="7"/>
      <c r="Q1182" s="7"/>
      <c r="AB1182" s="7"/>
    </row>
    <row r="1183" spans="3:28" ht="13" x14ac:dyDescent="0.15">
      <c r="C1183" s="7"/>
      <c r="D1183" s="7"/>
      <c r="E1183" s="7"/>
      <c r="F1183" s="9"/>
      <c r="H1183" s="10"/>
      <c r="I1183" s="10"/>
      <c r="J1183" s="10"/>
      <c r="K1183" s="10"/>
      <c r="L1183" s="10"/>
      <c r="M1183" s="10"/>
      <c r="N1183" s="10"/>
      <c r="O1183" s="7"/>
      <c r="P1183" s="7"/>
      <c r="Q1183" s="7"/>
      <c r="AB1183" s="7"/>
    </row>
    <row r="1184" spans="3:28" ht="13" x14ac:dyDescent="0.15">
      <c r="C1184" s="7"/>
      <c r="D1184" s="7"/>
      <c r="E1184" s="7"/>
      <c r="F1184" s="9"/>
      <c r="H1184" s="10"/>
      <c r="I1184" s="10"/>
      <c r="J1184" s="10"/>
      <c r="K1184" s="10"/>
      <c r="L1184" s="10"/>
      <c r="M1184" s="10"/>
      <c r="N1184" s="10"/>
      <c r="O1184" s="7"/>
      <c r="P1184" s="7"/>
      <c r="Q1184" s="7"/>
      <c r="AB1184" s="7"/>
    </row>
    <row r="1185" spans="3:28" ht="13" x14ac:dyDescent="0.15">
      <c r="C1185" s="7"/>
      <c r="D1185" s="7"/>
      <c r="E1185" s="7"/>
      <c r="F1185" s="9"/>
      <c r="H1185" s="10"/>
      <c r="I1185" s="10"/>
      <c r="J1185" s="10"/>
      <c r="K1185" s="10"/>
      <c r="L1185" s="10"/>
      <c r="M1185" s="10"/>
      <c r="N1185" s="10"/>
      <c r="O1185" s="7"/>
      <c r="P1185" s="7"/>
      <c r="Q1185" s="7"/>
      <c r="AB1185" s="7"/>
    </row>
    <row r="1186" spans="3:28" ht="13" x14ac:dyDescent="0.15">
      <c r="C1186" s="7"/>
      <c r="D1186" s="7"/>
      <c r="E1186" s="7"/>
      <c r="F1186" s="9"/>
      <c r="H1186" s="10"/>
      <c r="I1186" s="10"/>
      <c r="J1186" s="10"/>
      <c r="K1186" s="10"/>
      <c r="L1186" s="10"/>
      <c r="M1186" s="10"/>
      <c r="N1186" s="10"/>
      <c r="O1186" s="7"/>
      <c r="P1186" s="7"/>
      <c r="Q1186" s="7"/>
      <c r="AB1186" s="7"/>
    </row>
    <row r="1187" spans="3:28" ht="13" x14ac:dyDescent="0.15">
      <c r="C1187" s="7"/>
      <c r="D1187" s="7"/>
      <c r="E1187" s="7"/>
      <c r="F1187" s="9"/>
      <c r="H1187" s="10"/>
      <c r="I1187" s="10"/>
      <c r="J1187" s="10"/>
      <c r="K1187" s="10"/>
      <c r="L1187" s="10"/>
      <c r="M1187" s="10"/>
      <c r="N1187" s="10"/>
      <c r="O1187" s="7"/>
      <c r="P1187" s="7"/>
      <c r="Q1187" s="7"/>
      <c r="AB1187" s="7"/>
    </row>
    <row r="1188" spans="3:28" ht="13" x14ac:dyDescent="0.15">
      <c r="C1188" s="7"/>
      <c r="D1188" s="7"/>
      <c r="E1188" s="7"/>
      <c r="F1188" s="9"/>
      <c r="H1188" s="10"/>
      <c r="I1188" s="10"/>
      <c r="J1188" s="10"/>
      <c r="K1188" s="10"/>
      <c r="L1188" s="10"/>
      <c r="M1188" s="10"/>
      <c r="N1188" s="10"/>
      <c r="O1188" s="7"/>
      <c r="P1188" s="7"/>
      <c r="Q1188" s="7"/>
      <c r="AB1188" s="7"/>
    </row>
    <row r="1189" spans="3:28" ht="13" x14ac:dyDescent="0.15">
      <c r="C1189" s="7"/>
      <c r="D1189" s="7"/>
      <c r="E1189" s="7"/>
      <c r="F1189" s="9"/>
      <c r="H1189" s="10"/>
      <c r="I1189" s="10"/>
      <c r="J1189" s="10"/>
      <c r="K1189" s="10"/>
      <c r="L1189" s="10"/>
      <c r="M1189" s="10"/>
      <c r="N1189" s="10"/>
      <c r="O1189" s="7"/>
      <c r="P1189" s="7"/>
      <c r="Q1189" s="7"/>
      <c r="AB1189" s="7"/>
    </row>
    <row r="1190" spans="3:28" ht="13" x14ac:dyDescent="0.15">
      <c r="C1190" s="7"/>
      <c r="D1190" s="7"/>
      <c r="E1190" s="7"/>
      <c r="F1190" s="9"/>
      <c r="H1190" s="10"/>
      <c r="I1190" s="10"/>
      <c r="J1190" s="10"/>
      <c r="K1190" s="10"/>
      <c r="L1190" s="10"/>
      <c r="M1190" s="10"/>
      <c r="N1190" s="10"/>
      <c r="O1190" s="7"/>
      <c r="P1190" s="7"/>
      <c r="Q1190" s="7"/>
      <c r="AB1190" s="7"/>
    </row>
    <row r="1191" spans="3:28" ht="13" x14ac:dyDescent="0.15">
      <c r="C1191" s="7"/>
      <c r="D1191" s="7"/>
      <c r="E1191" s="7"/>
      <c r="F1191" s="9"/>
      <c r="H1191" s="10"/>
      <c r="I1191" s="10"/>
      <c r="J1191" s="10"/>
      <c r="K1191" s="10"/>
      <c r="L1191" s="10"/>
      <c r="M1191" s="10"/>
      <c r="N1191" s="10"/>
      <c r="O1191" s="7"/>
      <c r="P1191" s="7"/>
      <c r="Q1191" s="7"/>
      <c r="AB1191" s="7"/>
    </row>
    <row r="1192" spans="3:28" ht="13" x14ac:dyDescent="0.15">
      <c r="C1192" s="7"/>
      <c r="D1192" s="7"/>
      <c r="E1192" s="7"/>
      <c r="F1192" s="9"/>
      <c r="H1192" s="10"/>
      <c r="I1192" s="10"/>
      <c r="J1192" s="10"/>
      <c r="K1192" s="10"/>
      <c r="L1192" s="10"/>
      <c r="M1192" s="10"/>
      <c r="N1192" s="10"/>
      <c r="O1192" s="7"/>
      <c r="P1192" s="7"/>
      <c r="Q1192" s="7"/>
      <c r="AB1192" s="7"/>
    </row>
    <row r="1193" spans="3:28" ht="13" x14ac:dyDescent="0.15">
      <c r="C1193" s="7"/>
      <c r="D1193" s="7"/>
      <c r="E1193" s="7"/>
      <c r="F1193" s="9"/>
      <c r="H1193" s="10"/>
      <c r="I1193" s="10"/>
      <c r="J1193" s="10"/>
      <c r="K1193" s="10"/>
      <c r="L1193" s="10"/>
      <c r="M1193" s="10"/>
      <c r="N1193" s="10"/>
      <c r="O1193" s="7"/>
      <c r="P1193" s="7"/>
      <c r="Q1193" s="7"/>
      <c r="AB1193" s="7"/>
    </row>
    <row r="1194" spans="3:28" ht="13" x14ac:dyDescent="0.15">
      <c r="C1194" s="7"/>
      <c r="D1194" s="7"/>
      <c r="E1194" s="7"/>
      <c r="F1194" s="9"/>
      <c r="H1194" s="10"/>
      <c r="I1194" s="10"/>
      <c r="J1194" s="10"/>
      <c r="K1194" s="10"/>
      <c r="L1194" s="10"/>
      <c r="M1194" s="10"/>
      <c r="N1194" s="10"/>
      <c r="O1194" s="7"/>
      <c r="P1194" s="7"/>
      <c r="Q1194" s="7"/>
      <c r="AB1194" s="7"/>
    </row>
    <row r="1195" spans="3:28" ht="13" x14ac:dyDescent="0.15">
      <c r="C1195" s="7"/>
      <c r="D1195" s="7"/>
      <c r="E1195" s="7"/>
      <c r="F1195" s="9"/>
      <c r="H1195" s="10"/>
      <c r="I1195" s="10"/>
      <c r="J1195" s="10"/>
      <c r="K1195" s="10"/>
      <c r="L1195" s="10"/>
      <c r="M1195" s="10"/>
      <c r="N1195" s="10"/>
      <c r="O1195" s="7"/>
      <c r="P1195" s="7"/>
      <c r="Q1195" s="7"/>
      <c r="AB1195" s="7"/>
    </row>
    <row r="1196" spans="3:28" ht="13" x14ac:dyDescent="0.15">
      <c r="C1196" s="7"/>
      <c r="D1196" s="7"/>
      <c r="E1196" s="7"/>
      <c r="F1196" s="9"/>
      <c r="H1196" s="10"/>
      <c r="I1196" s="10"/>
      <c r="J1196" s="10"/>
      <c r="K1196" s="10"/>
      <c r="L1196" s="10"/>
      <c r="M1196" s="10"/>
      <c r="N1196" s="10"/>
      <c r="O1196" s="7"/>
      <c r="P1196" s="7"/>
      <c r="Q1196" s="7"/>
      <c r="AB1196" s="7"/>
    </row>
    <row r="1197" spans="3:28" ht="13" x14ac:dyDescent="0.15">
      <c r="C1197" s="7"/>
      <c r="D1197" s="7"/>
      <c r="E1197" s="7"/>
      <c r="F1197" s="9"/>
      <c r="H1197" s="10"/>
      <c r="I1197" s="10"/>
      <c r="J1197" s="10"/>
      <c r="K1197" s="10"/>
      <c r="L1197" s="10"/>
      <c r="M1197" s="10"/>
      <c r="N1197" s="10"/>
      <c r="O1197" s="7"/>
      <c r="P1197" s="7"/>
      <c r="Q1197" s="7"/>
      <c r="AB1197" s="7"/>
    </row>
    <row r="1198" spans="3:28" ht="13" x14ac:dyDescent="0.15">
      <c r="C1198" s="7"/>
      <c r="D1198" s="7"/>
      <c r="E1198" s="7"/>
      <c r="F1198" s="9"/>
      <c r="H1198" s="10"/>
      <c r="I1198" s="10"/>
      <c r="J1198" s="10"/>
      <c r="K1198" s="10"/>
      <c r="L1198" s="10"/>
      <c r="M1198" s="10"/>
      <c r="N1198" s="10"/>
      <c r="O1198" s="7"/>
      <c r="P1198" s="7"/>
      <c r="Q1198" s="7"/>
      <c r="AB1198" s="7"/>
    </row>
    <row r="1199" spans="3:28" ht="13" x14ac:dyDescent="0.15">
      <c r="C1199" s="7"/>
      <c r="D1199" s="7"/>
      <c r="E1199" s="7"/>
      <c r="F1199" s="9"/>
      <c r="H1199" s="10"/>
      <c r="I1199" s="10"/>
      <c r="J1199" s="10"/>
      <c r="K1199" s="10"/>
      <c r="L1199" s="10"/>
      <c r="M1199" s="10"/>
      <c r="N1199" s="10"/>
      <c r="O1199" s="7"/>
      <c r="P1199" s="7"/>
      <c r="Q1199" s="7"/>
      <c r="AB1199" s="7"/>
    </row>
    <row r="1200" spans="3:28" ht="13" x14ac:dyDescent="0.15">
      <c r="C1200" s="7"/>
      <c r="D1200" s="7"/>
      <c r="E1200" s="7"/>
      <c r="F1200" s="9"/>
      <c r="H1200" s="10"/>
      <c r="I1200" s="10"/>
      <c r="J1200" s="10"/>
      <c r="K1200" s="10"/>
      <c r="L1200" s="10"/>
      <c r="M1200" s="10"/>
      <c r="N1200" s="10"/>
      <c r="O1200" s="7"/>
      <c r="P1200" s="7"/>
      <c r="Q1200" s="7"/>
      <c r="AB1200" s="7"/>
    </row>
    <row r="1201" spans="3:28" ht="13" x14ac:dyDescent="0.15">
      <c r="C1201" s="7"/>
      <c r="D1201" s="7"/>
      <c r="E1201" s="7"/>
      <c r="F1201" s="9"/>
      <c r="H1201" s="10"/>
      <c r="I1201" s="10"/>
      <c r="J1201" s="10"/>
      <c r="K1201" s="10"/>
      <c r="L1201" s="10"/>
      <c r="M1201" s="10"/>
      <c r="N1201" s="10"/>
      <c r="O1201" s="7"/>
      <c r="P1201" s="7"/>
      <c r="Q1201" s="7"/>
      <c r="AB1201" s="7"/>
    </row>
    <row r="1202" spans="3:28" ht="13" x14ac:dyDescent="0.15">
      <c r="C1202" s="7"/>
      <c r="D1202" s="7"/>
      <c r="E1202" s="7"/>
      <c r="F1202" s="9"/>
      <c r="H1202" s="10"/>
      <c r="I1202" s="10"/>
      <c r="J1202" s="10"/>
      <c r="K1202" s="10"/>
      <c r="L1202" s="10"/>
      <c r="M1202" s="10"/>
      <c r="N1202" s="10"/>
      <c r="O1202" s="7"/>
      <c r="P1202" s="7"/>
      <c r="Q1202" s="7"/>
      <c r="AB1202" s="7"/>
    </row>
    <row r="1203" spans="3:28" ht="13" x14ac:dyDescent="0.15">
      <c r="C1203" s="7"/>
      <c r="D1203" s="7"/>
      <c r="E1203" s="7"/>
      <c r="F1203" s="9"/>
      <c r="H1203" s="10"/>
      <c r="I1203" s="10"/>
      <c r="J1203" s="10"/>
      <c r="K1203" s="10"/>
      <c r="L1203" s="10"/>
      <c r="M1203" s="10"/>
      <c r="N1203" s="10"/>
      <c r="O1203" s="7"/>
      <c r="P1203" s="7"/>
      <c r="Q1203" s="7"/>
      <c r="AB1203" s="7"/>
    </row>
    <row r="1204" spans="3:28" ht="13" x14ac:dyDescent="0.15">
      <c r="C1204" s="7"/>
      <c r="D1204" s="7"/>
      <c r="E1204" s="7"/>
      <c r="F1204" s="9"/>
      <c r="H1204" s="10"/>
      <c r="I1204" s="10"/>
      <c r="J1204" s="10"/>
      <c r="K1204" s="10"/>
      <c r="L1204" s="10"/>
      <c r="M1204" s="10"/>
      <c r="N1204" s="10"/>
      <c r="O1204" s="7"/>
      <c r="P1204" s="7"/>
      <c r="Q1204" s="7"/>
      <c r="AB1204" s="7"/>
    </row>
    <row r="1205" spans="3:28" ht="13" x14ac:dyDescent="0.15">
      <c r="C1205" s="7"/>
      <c r="D1205" s="7"/>
      <c r="E1205" s="7"/>
      <c r="F1205" s="9"/>
      <c r="H1205" s="10"/>
      <c r="I1205" s="10"/>
      <c r="J1205" s="10"/>
      <c r="K1205" s="10"/>
      <c r="L1205" s="10"/>
      <c r="M1205" s="10"/>
      <c r="N1205" s="10"/>
      <c r="O1205" s="7"/>
      <c r="P1205" s="7"/>
      <c r="Q1205" s="7"/>
      <c r="AB1205" s="7"/>
    </row>
    <row r="1206" spans="3:28" ht="13" x14ac:dyDescent="0.15">
      <c r="C1206" s="7"/>
      <c r="D1206" s="7"/>
      <c r="E1206" s="7"/>
      <c r="F1206" s="9"/>
      <c r="H1206" s="10"/>
      <c r="I1206" s="10"/>
      <c r="J1206" s="10"/>
      <c r="K1206" s="10"/>
      <c r="L1206" s="10"/>
      <c r="M1206" s="10"/>
      <c r="N1206" s="10"/>
      <c r="O1206" s="7"/>
      <c r="P1206" s="7"/>
      <c r="Q1206" s="7"/>
      <c r="AB1206" s="7"/>
    </row>
    <row r="1207" spans="3:28" ht="13" x14ac:dyDescent="0.15">
      <c r="C1207" s="7"/>
      <c r="D1207" s="7"/>
      <c r="E1207" s="7"/>
      <c r="F1207" s="9"/>
      <c r="H1207" s="10"/>
      <c r="I1207" s="10"/>
      <c r="J1207" s="10"/>
      <c r="K1207" s="10"/>
      <c r="L1207" s="10"/>
      <c r="M1207" s="10"/>
      <c r="N1207" s="10"/>
      <c r="O1207" s="7"/>
      <c r="P1207" s="7"/>
      <c r="Q1207" s="7"/>
      <c r="AB1207" s="7"/>
    </row>
    <row r="1208" spans="3:28" ht="13" x14ac:dyDescent="0.15">
      <c r="C1208" s="7"/>
      <c r="D1208" s="7"/>
      <c r="E1208" s="7"/>
      <c r="F1208" s="9"/>
      <c r="H1208" s="10"/>
      <c r="I1208" s="10"/>
      <c r="J1208" s="10"/>
      <c r="K1208" s="10"/>
      <c r="L1208" s="10"/>
      <c r="M1208" s="10"/>
      <c r="N1208" s="10"/>
      <c r="O1208" s="7"/>
      <c r="P1208" s="7"/>
      <c r="Q1208" s="7"/>
      <c r="AB1208" s="7"/>
    </row>
    <row r="1209" spans="3:28" ht="13" x14ac:dyDescent="0.15">
      <c r="C1209" s="7"/>
      <c r="D1209" s="7"/>
      <c r="E1209" s="7"/>
      <c r="F1209" s="9"/>
      <c r="H1209" s="10"/>
      <c r="I1209" s="10"/>
      <c r="J1209" s="10"/>
      <c r="K1209" s="10"/>
      <c r="L1209" s="10"/>
      <c r="M1209" s="10"/>
      <c r="N1209" s="10"/>
      <c r="O1209" s="7"/>
      <c r="P1209" s="7"/>
      <c r="Q1209" s="7"/>
      <c r="AB1209" s="7"/>
    </row>
    <row r="1210" spans="3:28" ht="13" x14ac:dyDescent="0.15">
      <c r="C1210" s="7"/>
      <c r="D1210" s="7"/>
      <c r="E1210" s="7"/>
      <c r="F1210" s="9"/>
      <c r="H1210" s="10"/>
      <c r="I1210" s="10"/>
      <c r="J1210" s="10"/>
      <c r="K1210" s="10"/>
      <c r="L1210" s="10"/>
      <c r="M1210" s="10"/>
      <c r="N1210" s="10"/>
      <c r="O1210" s="7"/>
      <c r="P1210" s="7"/>
      <c r="Q1210" s="7"/>
      <c r="AB1210" s="7"/>
    </row>
    <row r="1211" spans="3:28" ht="13" x14ac:dyDescent="0.15">
      <c r="C1211" s="7"/>
      <c r="D1211" s="7"/>
      <c r="E1211" s="7"/>
      <c r="F1211" s="9"/>
      <c r="H1211" s="10"/>
      <c r="I1211" s="10"/>
      <c r="J1211" s="10"/>
      <c r="K1211" s="10"/>
      <c r="L1211" s="10"/>
      <c r="M1211" s="10"/>
      <c r="N1211" s="10"/>
      <c r="O1211" s="7"/>
      <c r="P1211" s="7"/>
      <c r="Q1211" s="7"/>
      <c r="AB1211" s="7"/>
    </row>
    <row r="1212" spans="3:28" ht="13" x14ac:dyDescent="0.15">
      <c r="C1212" s="7"/>
      <c r="D1212" s="7"/>
      <c r="E1212" s="7"/>
      <c r="F1212" s="9"/>
      <c r="H1212" s="10"/>
      <c r="I1212" s="10"/>
      <c r="J1212" s="10"/>
      <c r="K1212" s="10"/>
      <c r="L1212" s="10"/>
      <c r="M1212" s="10"/>
      <c r="N1212" s="10"/>
      <c r="O1212" s="7"/>
      <c r="P1212" s="7"/>
      <c r="Q1212" s="7"/>
      <c r="AB1212" s="7"/>
    </row>
    <row r="1213" spans="3:28" ht="13" x14ac:dyDescent="0.15">
      <c r="C1213" s="7"/>
      <c r="D1213" s="7"/>
      <c r="E1213" s="7"/>
      <c r="F1213" s="9"/>
      <c r="H1213" s="10"/>
      <c r="I1213" s="10"/>
      <c r="J1213" s="10"/>
      <c r="K1213" s="10"/>
      <c r="L1213" s="10"/>
      <c r="M1213" s="10"/>
      <c r="N1213" s="10"/>
      <c r="O1213" s="7"/>
      <c r="P1213" s="7"/>
      <c r="Q1213" s="7"/>
      <c r="AB1213" s="7"/>
    </row>
    <row r="1214" spans="3:28" ht="13" x14ac:dyDescent="0.15">
      <c r="C1214" s="7"/>
      <c r="D1214" s="7"/>
      <c r="E1214" s="7"/>
      <c r="F1214" s="9"/>
      <c r="H1214" s="10"/>
      <c r="I1214" s="10"/>
      <c r="J1214" s="10"/>
      <c r="K1214" s="10"/>
      <c r="L1214" s="10"/>
      <c r="M1214" s="10"/>
      <c r="N1214" s="10"/>
      <c r="O1214" s="7"/>
      <c r="P1214" s="7"/>
      <c r="Q1214" s="7"/>
      <c r="AB1214" s="7"/>
    </row>
    <row r="1215" spans="3:28" ht="13" x14ac:dyDescent="0.15">
      <c r="C1215" s="7"/>
      <c r="D1215" s="7"/>
      <c r="E1215" s="7"/>
      <c r="F1215" s="9"/>
      <c r="H1215" s="10"/>
      <c r="I1215" s="10"/>
      <c r="J1215" s="10"/>
      <c r="K1215" s="10"/>
      <c r="L1215" s="10"/>
      <c r="M1215" s="10"/>
      <c r="N1215" s="10"/>
      <c r="O1215" s="7"/>
      <c r="P1215" s="7"/>
      <c r="Q1215" s="7"/>
      <c r="AB1215" s="7"/>
    </row>
    <row r="1216" spans="3:28" ht="13" x14ac:dyDescent="0.15">
      <c r="C1216" s="7"/>
      <c r="D1216" s="7"/>
      <c r="E1216" s="7"/>
      <c r="F1216" s="9"/>
      <c r="H1216" s="10"/>
      <c r="I1216" s="10"/>
      <c r="J1216" s="10"/>
      <c r="K1216" s="10"/>
      <c r="L1216" s="10"/>
      <c r="M1216" s="10"/>
      <c r="N1216" s="10"/>
      <c r="O1216" s="7"/>
      <c r="P1216" s="7"/>
      <c r="Q1216" s="7"/>
      <c r="AB1216" s="7"/>
    </row>
    <row r="1217" spans="3:28" ht="13" x14ac:dyDescent="0.15">
      <c r="C1217" s="7"/>
      <c r="D1217" s="7"/>
      <c r="E1217" s="7"/>
      <c r="F1217" s="9"/>
      <c r="H1217" s="10"/>
      <c r="I1217" s="10"/>
      <c r="J1217" s="10"/>
      <c r="K1217" s="10"/>
      <c r="L1217" s="10"/>
      <c r="M1217" s="10"/>
      <c r="N1217" s="10"/>
      <c r="O1217" s="7"/>
      <c r="P1217" s="7"/>
      <c r="Q1217" s="7"/>
      <c r="AB1217" s="7"/>
    </row>
    <row r="1218" spans="3:28" ht="13" x14ac:dyDescent="0.15">
      <c r="C1218" s="7"/>
      <c r="D1218" s="7"/>
      <c r="E1218" s="7"/>
      <c r="F1218" s="9"/>
      <c r="H1218" s="10"/>
      <c r="I1218" s="10"/>
      <c r="J1218" s="10"/>
      <c r="K1218" s="10"/>
      <c r="L1218" s="10"/>
      <c r="M1218" s="10"/>
      <c r="N1218" s="10"/>
      <c r="O1218" s="7"/>
      <c r="P1218" s="7"/>
      <c r="Q1218" s="7"/>
      <c r="AB1218" s="7"/>
    </row>
    <row r="1219" spans="3:28" ht="13" x14ac:dyDescent="0.15">
      <c r="C1219" s="7"/>
      <c r="D1219" s="7"/>
      <c r="E1219" s="7"/>
      <c r="F1219" s="9"/>
      <c r="H1219" s="10"/>
      <c r="I1219" s="10"/>
      <c r="J1219" s="10"/>
      <c r="K1219" s="10"/>
      <c r="L1219" s="10"/>
      <c r="M1219" s="10"/>
      <c r="N1219" s="10"/>
      <c r="O1219" s="7"/>
      <c r="P1219" s="7"/>
      <c r="Q1219" s="7"/>
      <c r="AB1219" s="7"/>
    </row>
    <row r="1220" spans="3:28" ht="13" x14ac:dyDescent="0.15">
      <c r="C1220" s="7"/>
      <c r="D1220" s="7"/>
      <c r="E1220" s="7"/>
      <c r="F1220" s="9"/>
      <c r="H1220" s="10"/>
      <c r="I1220" s="10"/>
      <c r="J1220" s="10"/>
      <c r="K1220" s="10"/>
      <c r="L1220" s="10"/>
      <c r="M1220" s="10"/>
      <c r="N1220" s="10"/>
      <c r="O1220" s="7"/>
      <c r="P1220" s="7"/>
      <c r="Q1220" s="7"/>
      <c r="AB1220" s="7"/>
    </row>
    <row r="1221" spans="3:28" ht="13" x14ac:dyDescent="0.15">
      <c r="C1221" s="7"/>
      <c r="D1221" s="7"/>
      <c r="E1221" s="7"/>
      <c r="F1221" s="9"/>
      <c r="H1221" s="10"/>
      <c r="I1221" s="10"/>
      <c r="J1221" s="10"/>
      <c r="K1221" s="10"/>
      <c r="L1221" s="10"/>
      <c r="M1221" s="10"/>
      <c r="N1221" s="10"/>
      <c r="O1221" s="7"/>
      <c r="P1221" s="7"/>
      <c r="Q1221" s="7"/>
      <c r="AB1221" s="7"/>
    </row>
    <row r="1222" spans="3:28" ht="13" x14ac:dyDescent="0.15">
      <c r="C1222" s="7"/>
      <c r="D1222" s="7"/>
      <c r="E1222" s="7"/>
      <c r="F1222" s="9"/>
      <c r="H1222" s="10"/>
      <c r="I1222" s="10"/>
      <c r="J1222" s="10"/>
      <c r="K1222" s="10"/>
      <c r="L1222" s="10"/>
      <c r="M1222" s="10"/>
      <c r="N1222" s="10"/>
      <c r="O1222" s="7"/>
      <c r="P1222" s="7"/>
      <c r="Q1222" s="7"/>
      <c r="AB1222" s="7"/>
    </row>
    <row r="1223" spans="3:28" ht="13" x14ac:dyDescent="0.15">
      <c r="C1223" s="7"/>
      <c r="D1223" s="7"/>
      <c r="E1223" s="7"/>
      <c r="F1223" s="9"/>
      <c r="H1223" s="10"/>
      <c r="I1223" s="10"/>
      <c r="J1223" s="10"/>
      <c r="K1223" s="10"/>
      <c r="L1223" s="10"/>
      <c r="M1223" s="10"/>
      <c r="N1223" s="10"/>
      <c r="O1223" s="7"/>
      <c r="P1223" s="7"/>
      <c r="Q1223" s="7"/>
      <c r="AB1223" s="7"/>
    </row>
    <row r="1224" spans="3:28" ht="13" x14ac:dyDescent="0.15">
      <c r="C1224" s="7"/>
      <c r="D1224" s="7"/>
      <c r="E1224" s="7"/>
      <c r="F1224" s="9"/>
      <c r="H1224" s="10"/>
      <c r="I1224" s="10"/>
      <c r="J1224" s="10"/>
      <c r="K1224" s="10"/>
      <c r="L1224" s="10"/>
      <c r="M1224" s="10"/>
      <c r="N1224" s="10"/>
      <c r="O1224" s="7"/>
      <c r="P1224" s="7"/>
      <c r="Q1224" s="7"/>
      <c r="AB1224" s="7"/>
    </row>
    <row r="1225" spans="3:28" ht="13" x14ac:dyDescent="0.15">
      <c r="C1225" s="7"/>
      <c r="D1225" s="7"/>
      <c r="E1225" s="7"/>
      <c r="F1225" s="9"/>
      <c r="H1225" s="10"/>
      <c r="I1225" s="10"/>
      <c r="J1225" s="10"/>
      <c r="K1225" s="10"/>
      <c r="L1225" s="10"/>
      <c r="M1225" s="10"/>
      <c r="N1225" s="10"/>
      <c r="O1225" s="7"/>
      <c r="P1225" s="7"/>
      <c r="Q1225" s="7"/>
      <c r="AB1225" s="7"/>
    </row>
    <row r="1226" spans="3:28" ht="13" x14ac:dyDescent="0.15">
      <c r="C1226" s="7"/>
      <c r="D1226" s="7"/>
      <c r="E1226" s="7"/>
      <c r="F1226" s="9"/>
      <c r="H1226" s="10"/>
      <c r="I1226" s="10"/>
      <c r="J1226" s="10"/>
      <c r="K1226" s="10"/>
      <c r="L1226" s="10"/>
      <c r="M1226" s="10"/>
      <c r="N1226" s="10"/>
      <c r="O1226" s="7"/>
      <c r="P1226" s="7"/>
      <c r="Q1226" s="7"/>
      <c r="AB1226" s="7"/>
    </row>
    <row r="1227" spans="3:28" ht="13" x14ac:dyDescent="0.15">
      <c r="C1227" s="7"/>
      <c r="D1227" s="7"/>
      <c r="E1227" s="7"/>
      <c r="F1227" s="9"/>
      <c r="H1227" s="10"/>
      <c r="I1227" s="10"/>
      <c r="J1227" s="10"/>
      <c r="K1227" s="10"/>
      <c r="L1227" s="10"/>
      <c r="M1227" s="10"/>
      <c r="N1227" s="10"/>
      <c r="O1227" s="7"/>
      <c r="P1227" s="7"/>
      <c r="Q1227" s="7"/>
      <c r="AB1227" s="7"/>
    </row>
    <row r="1228" spans="3:28" ht="13" x14ac:dyDescent="0.15">
      <c r="C1228" s="7"/>
      <c r="D1228" s="7"/>
      <c r="E1228" s="7"/>
      <c r="F1228" s="9"/>
      <c r="H1228" s="10"/>
      <c r="I1228" s="10"/>
      <c r="J1228" s="10"/>
      <c r="K1228" s="10"/>
      <c r="L1228" s="10"/>
      <c r="M1228" s="10"/>
      <c r="N1228" s="10"/>
      <c r="O1228" s="7"/>
      <c r="P1228" s="7"/>
      <c r="Q1228" s="7"/>
      <c r="AB1228" s="7"/>
    </row>
    <row r="1229" spans="3:28" ht="13" x14ac:dyDescent="0.15">
      <c r="C1229" s="7"/>
      <c r="D1229" s="7"/>
      <c r="E1229" s="7"/>
      <c r="F1229" s="9"/>
      <c r="H1229" s="10"/>
      <c r="I1229" s="10"/>
      <c r="J1229" s="10"/>
      <c r="K1229" s="10"/>
      <c r="L1229" s="10"/>
      <c r="M1229" s="10"/>
      <c r="N1229" s="10"/>
      <c r="O1229" s="7"/>
      <c r="P1229" s="7"/>
      <c r="Q1229" s="7"/>
      <c r="AB1229" s="7"/>
    </row>
    <row r="1230" spans="3:28" ht="13" x14ac:dyDescent="0.15">
      <c r="C1230" s="7"/>
      <c r="D1230" s="7"/>
      <c r="E1230" s="7"/>
      <c r="F1230" s="9"/>
      <c r="H1230" s="10"/>
      <c r="I1230" s="10"/>
      <c r="J1230" s="10"/>
      <c r="K1230" s="10"/>
      <c r="L1230" s="10"/>
      <c r="M1230" s="10"/>
      <c r="N1230" s="10"/>
      <c r="O1230" s="7"/>
      <c r="P1230" s="7"/>
      <c r="Q1230" s="7"/>
      <c r="AB1230" s="7"/>
    </row>
    <row r="1231" spans="3:28" ht="13" x14ac:dyDescent="0.15">
      <c r="C1231" s="7"/>
      <c r="D1231" s="7"/>
      <c r="E1231" s="7"/>
      <c r="F1231" s="9"/>
      <c r="H1231" s="10"/>
      <c r="I1231" s="10"/>
      <c r="J1231" s="10"/>
      <c r="K1231" s="10"/>
      <c r="L1231" s="10"/>
      <c r="M1231" s="10"/>
      <c r="N1231" s="10"/>
      <c r="O1231" s="7"/>
      <c r="P1231" s="7"/>
      <c r="Q1231" s="7"/>
      <c r="AB1231" s="7"/>
    </row>
    <row r="1232" spans="3:28" ht="13" x14ac:dyDescent="0.15">
      <c r="C1232" s="7"/>
      <c r="D1232" s="7"/>
      <c r="E1232" s="7"/>
      <c r="F1232" s="9"/>
      <c r="H1232" s="10"/>
      <c r="I1232" s="10"/>
      <c r="J1232" s="10"/>
      <c r="K1232" s="10"/>
      <c r="L1232" s="10"/>
      <c r="M1232" s="10"/>
      <c r="N1232" s="10"/>
      <c r="O1232" s="7"/>
      <c r="P1232" s="7"/>
      <c r="Q1232" s="7"/>
      <c r="AB1232" s="7"/>
    </row>
    <row r="1233" spans="3:28" ht="13" x14ac:dyDescent="0.15">
      <c r="C1233" s="7"/>
      <c r="D1233" s="7"/>
      <c r="E1233" s="7"/>
      <c r="F1233" s="9"/>
      <c r="H1233" s="10"/>
      <c r="I1233" s="10"/>
      <c r="J1233" s="10"/>
      <c r="K1233" s="10"/>
      <c r="L1233" s="10"/>
      <c r="M1233" s="10"/>
      <c r="N1233" s="10"/>
      <c r="O1233" s="7"/>
      <c r="P1233" s="7"/>
      <c r="Q1233" s="7"/>
      <c r="AB1233" s="7"/>
    </row>
    <row r="1234" spans="3:28" ht="13" x14ac:dyDescent="0.15">
      <c r="C1234" s="7"/>
      <c r="D1234" s="7"/>
      <c r="E1234" s="7"/>
      <c r="F1234" s="9"/>
      <c r="H1234" s="10"/>
      <c r="I1234" s="10"/>
      <c r="J1234" s="10"/>
      <c r="K1234" s="10"/>
      <c r="L1234" s="10"/>
      <c r="M1234" s="10"/>
      <c r="N1234" s="10"/>
      <c r="O1234" s="7"/>
      <c r="P1234" s="7"/>
      <c r="Q1234" s="7"/>
      <c r="AB1234" s="7"/>
    </row>
    <row r="1235" spans="3:28" ht="13" x14ac:dyDescent="0.15">
      <c r="C1235" s="7"/>
      <c r="D1235" s="7"/>
      <c r="E1235" s="7"/>
      <c r="F1235" s="9"/>
      <c r="H1235" s="10"/>
      <c r="I1235" s="10"/>
      <c r="J1235" s="10"/>
      <c r="K1235" s="10"/>
      <c r="L1235" s="10"/>
      <c r="M1235" s="10"/>
      <c r="N1235" s="10"/>
      <c r="O1235" s="7"/>
      <c r="P1235" s="7"/>
      <c r="Q1235" s="7"/>
      <c r="AB1235" s="7"/>
    </row>
    <row r="1236" spans="3:28" ht="13" x14ac:dyDescent="0.15">
      <c r="C1236" s="7"/>
      <c r="D1236" s="7"/>
      <c r="E1236" s="7"/>
      <c r="F1236" s="9"/>
      <c r="H1236" s="10"/>
      <c r="I1236" s="10"/>
      <c r="J1236" s="10"/>
      <c r="K1236" s="10"/>
      <c r="L1236" s="10"/>
      <c r="M1236" s="10"/>
      <c r="N1236" s="10"/>
      <c r="O1236" s="7"/>
      <c r="P1236" s="7"/>
      <c r="Q1236" s="7"/>
      <c r="AB1236" s="7"/>
    </row>
    <row r="1237" spans="3:28" ht="13" x14ac:dyDescent="0.15">
      <c r="C1237" s="7"/>
      <c r="D1237" s="7"/>
      <c r="E1237" s="7"/>
      <c r="F1237" s="9"/>
      <c r="H1237" s="10"/>
      <c r="I1237" s="10"/>
      <c r="J1237" s="10"/>
      <c r="K1237" s="10"/>
      <c r="L1237" s="10"/>
      <c r="M1237" s="10"/>
      <c r="N1237" s="10"/>
      <c r="O1237" s="7"/>
      <c r="P1237" s="7"/>
      <c r="Q1237" s="7"/>
      <c r="AB1237" s="7"/>
    </row>
    <row r="1238" spans="3:28" ht="13" x14ac:dyDescent="0.15">
      <c r="C1238" s="7"/>
      <c r="D1238" s="7"/>
      <c r="E1238" s="7"/>
      <c r="F1238" s="9"/>
      <c r="H1238" s="10"/>
      <c r="I1238" s="10"/>
      <c r="J1238" s="10"/>
      <c r="K1238" s="10"/>
      <c r="L1238" s="10"/>
      <c r="M1238" s="10"/>
      <c r="N1238" s="10"/>
      <c r="O1238" s="7"/>
      <c r="P1238" s="7"/>
      <c r="Q1238" s="7"/>
      <c r="AB1238" s="7"/>
    </row>
    <row r="1239" spans="3:28" ht="13" x14ac:dyDescent="0.15">
      <c r="C1239" s="7"/>
      <c r="D1239" s="7"/>
      <c r="E1239" s="7"/>
      <c r="F1239" s="9"/>
      <c r="H1239" s="10"/>
      <c r="I1239" s="10"/>
      <c r="J1239" s="10"/>
      <c r="K1239" s="10"/>
      <c r="L1239" s="10"/>
      <c r="M1239" s="10"/>
      <c r="N1239" s="10"/>
      <c r="O1239" s="7"/>
      <c r="P1239" s="7"/>
      <c r="Q1239" s="7"/>
      <c r="AB1239" s="7"/>
    </row>
    <row r="1240" spans="3:28" ht="13" x14ac:dyDescent="0.15">
      <c r="C1240" s="7"/>
      <c r="D1240" s="7"/>
      <c r="E1240" s="7"/>
      <c r="F1240" s="9"/>
      <c r="H1240" s="10"/>
      <c r="I1240" s="10"/>
      <c r="J1240" s="10"/>
      <c r="K1240" s="10"/>
      <c r="L1240" s="10"/>
      <c r="M1240" s="10"/>
      <c r="N1240" s="10"/>
      <c r="O1240" s="7"/>
      <c r="P1240" s="7"/>
      <c r="Q1240" s="7"/>
      <c r="AB1240" s="7"/>
    </row>
    <row r="1241" spans="3:28" ht="13" x14ac:dyDescent="0.15">
      <c r="C1241" s="7"/>
      <c r="D1241" s="7"/>
      <c r="E1241" s="7"/>
      <c r="F1241" s="9"/>
      <c r="H1241" s="10"/>
      <c r="I1241" s="10"/>
      <c r="J1241" s="10"/>
      <c r="K1241" s="10"/>
      <c r="L1241" s="10"/>
      <c r="M1241" s="10"/>
      <c r="N1241" s="10"/>
      <c r="O1241" s="7"/>
      <c r="P1241" s="7"/>
      <c r="Q1241" s="7"/>
      <c r="AB1241" s="7"/>
    </row>
    <row r="1242" spans="3:28" ht="13" x14ac:dyDescent="0.15">
      <c r="C1242" s="7"/>
      <c r="D1242" s="7"/>
      <c r="E1242" s="7"/>
      <c r="F1242" s="9"/>
      <c r="H1242" s="10"/>
      <c r="I1242" s="10"/>
      <c r="J1242" s="10"/>
      <c r="K1242" s="10"/>
      <c r="L1242" s="10"/>
      <c r="M1242" s="10"/>
      <c r="N1242" s="10"/>
      <c r="O1242" s="7"/>
      <c r="P1242" s="7"/>
      <c r="Q1242" s="7"/>
      <c r="AB1242" s="7"/>
    </row>
    <row r="1243" spans="3:28" ht="13" x14ac:dyDescent="0.15">
      <c r="C1243" s="7"/>
      <c r="D1243" s="7"/>
      <c r="E1243" s="7"/>
      <c r="F1243" s="9"/>
      <c r="H1243" s="10"/>
      <c r="I1243" s="10"/>
      <c r="J1243" s="10"/>
      <c r="K1243" s="10"/>
      <c r="L1243" s="10"/>
      <c r="M1243" s="10"/>
      <c r="N1243" s="10"/>
      <c r="O1243" s="7"/>
      <c r="P1243" s="7"/>
      <c r="Q1243" s="7"/>
      <c r="AB1243" s="7"/>
    </row>
    <row r="1244" spans="3:28" ht="13" x14ac:dyDescent="0.15">
      <c r="C1244" s="7"/>
      <c r="D1244" s="7"/>
      <c r="E1244" s="7"/>
      <c r="F1244" s="9"/>
      <c r="H1244" s="10"/>
      <c r="I1244" s="10"/>
      <c r="J1244" s="10"/>
      <c r="K1244" s="10"/>
      <c r="L1244" s="10"/>
      <c r="M1244" s="10"/>
      <c r="N1244" s="10"/>
      <c r="O1244" s="7"/>
      <c r="P1244" s="7"/>
      <c r="Q1244" s="7"/>
      <c r="AB1244" s="7"/>
    </row>
    <row r="1245" spans="3:28" ht="13" x14ac:dyDescent="0.15">
      <c r="C1245" s="7"/>
      <c r="D1245" s="7"/>
      <c r="E1245" s="7"/>
      <c r="F1245" s="9"/>
      <c r="H1245" s="10"/>
      <c r="I1245" s="10"/>
      <c r="J1245" s="10"/>
      <c r="K1245" s="10"/>
      <c r="L1245" s="10"/>
      <c r="M1245" s="10"/>
      <c r="N1245" s="10"/>
      <c r="O1245" s="7"/>
      <c r="P1245" s="7"/>
      <c r="Q1245" s="7"/>
      <c r="AB1245" s="7"/>
    </row>
    <row r="1246" spans="3:28" ht="13" x14ac:dyDescent="0.15">
      <c r="C1246" s="7"/>
      <c r="D1246" s="7"/>
      <c r="E1246" s="7"/>
      <c r="F1246" s="9"/>
      <c r="H1246" s="10"/>
      <c r="I1246" s="10"/>
      <c r="J1246" s="10"/>
      <c r="K1246" s="10"/>
      <c r="L1246" s="10"/>
      <c r="M1246" s="10"/>
      <c r="N1246" s="10"/>
      <c r="O1246" s="7"/>
      <c r="P1246" s="7"/>
      <c r="Q1246" s="7"/>
      <c r="AB1246" s="7"/>
    </row>
    <row r="1247" spans="3:28" ht="13" x14ac:dyDescent="0.15">
      <c r="C1247" s="7"/>
      <c r="D1247" s="7"/>
      <c r="E1247" s="7"/>
      <c r="F1247" s="9"/>
      <c r="H1247" s="10"/>
      <c r="I1247" s="10"/>
      <c r="J1247" s="10"/>
      <c r="K1247" s="10"/>
      <c r="L1247" s="10"/>
      <c r="M1247" s="10"/>
      <c r="N1247" s="10"/>
      <c r="O1247" s="7"/>
      <c r="P1247" s="7"/>
      <c r="Q1247" s="7"/>
      <c r="AB1247" s="7"/>
    </row>
    <row r="1248" spans="3:28" ht="13" x14ac:dyDescent="0.15">
      <c r="C1248" s="7"/>
      <c r="D1248" s="7"/>
      <c r="E1248" s="7"/>
      <c r="F1248" s="9"/>
      <c r="H1248" s="10"/>
      <c r="I1248" s="10"/>
      <c r="J1248" s="10"/>
      <c r="K1248" s="10"/>
      <c r="L1248" s="10"/>
      <c r="M1248" s="10"/>
      <c r="N1248" s="10"/>
      <c r="O1248" s="7"/>
      <c r="P1248" s="7"/>
      <c r="Q1248" s="7"/>
      <c r="AB1248" s="7"/>
    </row>
    <row r="1249" spans="3:28" ht="13" x14ac:dyDescent="0.15">
      <c r="C1249" s="7"/>
      <c r="D1249" s="7"/>
      <c r="E1249" s="7"/>
      <c r="F1249" s="9"/>
      <c r="H1249" s="10"/>
      <c r="I1249" s="10"/>
      <c r="J1249" s="10"/>
      <c r="K1249" s="10"/>
      <c r="L1249" s="10"/>
      <c r="M1249" s="10"/>
      <c r="N1249" s="10"/>
      <c r="O1249" s="7"/>
      <c r="P1249" s="7"/>
      <c r="Q1249" s="7"/>
      <c r="AB1249" s="7"/>
    </row>
    <row r="1250" spans="3:28" ht="13" x14ac:dyDescent="0.15">
      <c r="C1250" s="7"/>
      <c r="D1250" s="7"/>
      <c r="E1250" s="7"/>
      <c r="F1250" s="9"/>
      <c r="H1250" s="10"/>
      <c r="I1250" s="10"/>
      <c r="J1250" s="10"/>
      <c r="K1250" s="10"/>
      <c r="L1250" s="10"/>
      <c r="M1250" s="10"/>
      <c r="N1250" s="10"/>
      <c r="O1250" s="7"/>
      <c r="P1250" s="7"/>
      <c r="Q1250" s="7"/>
      <c r="AB1250" s="7"/>
    </row>
    <row r="1251" spans="3:28" ht="13" x14ac:dyDescent="0.15">
      <c r="C1251" s="7"/>
      <c r="D1251" s="7"/>
      <c r="E1251" s="7"/>
      <c r="F1251" s="9"/>
      <c r="H1251" s="10"/>
      <c r="I1251" s="10"/>
      <c r="J1251" s="10"/>
      <c r="K1251" s="10"/>
      <c r="L1251" s="10"/>
      <c r="M1251" s="10"/>
      <c r="N1251" s="10"/>
      <c r="O1251" s="7"/>
      <c r="P1251" s="7"/>
      <c r="Q1251" s="7"/>
      <c r="AB1251" s="7"/>
    </row>
    <row r="1252" spans="3:28" ht="13" x14ac:dyDescent="0.15">
      <c r="C1252" s="7"/>
      <c r="D1252" s="7"/>
      <c r="E1252" s="7"/>
      <c r="F1252" s="9"/>
      <c r="H1252" s="10"/>
      <c r="I1252" s="10"/>
      <c r="J1252" s="10"/>
      <c r="K1252" s="10"/>
      <c r="L1252" s="10"/>
      <c r="M1252" s="10"/>
      <c r="N1252" s="10"/>
      <c r="O1252" s="7"/>
      <c r="P1252" s="7"/>
      <c r="Q1252" s="7"/>
      <c r="AB1252" s="7"/>
    </row>
    <row r="1253" spans="3:28" ht="13" x14ac:dyDescent="0.15">
      <c r="C1253" s="7"/>
      <c r="D1253" s="7"/>
      <c r="E1253" s="7"/>
      <c r="F1253" s="9"/>
      <c r="H1253" s="10"/>
      <c r="I1253" s="10"/>
      <c r="J1253" s="10"/>
      <c r="K1253" s="10"/>
      <c r="L1253" s="10"/>
      <c r="M1253" s="10"/>
      <c r="N1253" s="10"/>
      <c r="O1253" s="7"/>
      <c r="P1253" s="7"/>
      <c r="Q1253" s="7"/>
      <c r="AB1253" s="7"/>
    </row>
    <row r="1254" spans="3:28" ht="13" x14ac:dyDescent="0.15">
      <c r="C1254" s="7"/>
      <c r="D1254" s="7"/>
      <c r="E1254" s="7"/>
      <c r="F1254" s="9"/>
      <c r="H1254" s="10"/>
      <c r="I1254" s="10"/>
      <c r="J1254" s="10"/>
      <c r="K1254" s="10"/>
      <c r="L1254" s="10"/>
      <c r="M1254" s="10"/>
      <c r="N1254" s="10"/>
      <c r="O1254" s="7"/>
      <c r="P1254" s="7"/>
      <c r="Q1254" s="7"/>
      <c r="AB1254" s="7"/>
    </row>
    <row r="1255" spans="3:28" ht="13" x14ac:dyDescent="0.15">
      <c r="C1255" s="7"/>
      <c r="D1255" s="7"/>
      <c r="E1255" s="7"/>
      <c r="F1255" s="9"/>
      <c r="H1255" s="10"/>
      <c r="I1255" s="10"/>
      <c r="J1255" s="10"/>
      <c r="K1255" s="10"/>
      <c r="L1255" s="10"/>
      <c r="M1255" s="10"/>
      <c r="N1255" s="10"/>
      <c r="O1255" s="7"/>
      <c r="P1255" s="7"/>
      <c r="Q1255" s="7"/>
      <c r="AB1255" s="7"/>
    </row>
    <row r="1256" spans="3:28" ht="13" x14ac:dyDescent="0.15">
      <c r="C1256" s="7"/>
      <c r="D1256" s="7"/>
      <c r="E1256" s="7"/>
      <c r="F1256" s="9"/>
      <c r="H1256" s="10"/>
      <c r="I1256" s="10"/>
      <c r="J1256" s="10"/>
      <c r="K1256" s="10"/>
      <c r="L1256" s="10"/>
      <c r="M1256" s="10"/>
      <c r="N1256" s="10"/>
      <c r="O1256" s="7"/>
      <c r="P1256" s="7"/>
      <c r="Q1256" s="7"/>
      <c r="AB1256" s="7"/>
    </row>
    <row r="1257" spans="3:28" ht="13" x14ac:dyDescent="0.15">
      <c r="C1257" s="7"/>
      <c r="D1257" s="7"/>
      <c r="E1257" s="7"/>
      <c r="F1257" s="9"/>
      <c r="H1257" s="10"/>
      <c r="I1257" s="10"/>
      <c r="J1257" s="10"/>
      <c r="K1257" s="10"/>
      <c r="L1257" s="10"/>
      <c r="M1257" s="10"/>
      <c r="N1257" s="10"/>
      <c r="O1257" s="7"/>
      <c r="P1257" s="7"/>
      <c r="Q1257" s="7"/>
      <c r="AB1257" s="7"/>
    </row>
    <row r="1258" spans="3:28" ht="13" x14ac:dyDescent="0.15">
      <c r="C1258" s="7"/>
      <c r="D1258" s="7"/>
      <c r="E1258" s="7"/>
      <c r="F1258" s="9"/>
      <c r="H1258" s="10"/>
      <c r="I1258" s="10"/>
      <c r="J1258" s="10"/>
      <c r="K1258" s="10"/>
      <c r="L1258" s="10"/>
      <c r="M1258" s="10"/>
      <c r="N1258" s="10"/>
      <c r="O1258" s="7"/>
      <c r="P1258" s="7"/>
      <c r="Q1258" s="7"/>
      <c r="AB1258" s="7"/>
    </row>
    <row r="1259" spans="3:28" ht="13" x14ac:dyDescent="0.15">
      <c r="C1259" s="7"/>
      <c r="D1259" s="7"/>
      <c r="E1259" s="7"/>
      <c r="F1259" s="9"/>
      <c r="H1259" s="10"/>
      <c r="I1259" s="10"/>
      <c r="J1259" s="10"/>
      <c r="K1259" s="10"/>
      <c r="L1259" s="10"/>
      <c r="M1259" s="10"/>
      <c r="N1259" s="10"/>
      <c r="O1259" s="7"/>
      <c r="P1259" s="7"/>
      <c r="Q1259" s="7"/>
      <c r="AB1259" s="7"/>
    </row>
    <row r="1260" spans="3:28" ht="13" x14ac:dyDescent="0.15">
      <c r="C1260" s="7"/>
      <c r="D1260" s="7"/>
      <c r="E1260" s="7"/>
      <c r="F1260" s="9"/>
      <c r="H1260" s="10"/>
      <c r="I1260" s="10"/>
      <c r="J1260" s="10"/>
      <c r="K1260" s="10"/>
      <c r="L1260" s="10"/>
      <c r="M1260" s="10"/>
      <c r="N1260" s="10"/>
      <c r="O1260" s="7"/>
      <c r="P1260" s="7"/>
      <c r="Q1260" s="7"/>
      <c r="AB1260" s="7"/>
    </row>
    <row r="1261" spans="3:28" ht="13" x14ac:dyDescent="0.15">
      <c r="C1261" s="7"/>
      <c r="D1261" s="7"/>
      <c r="E1261" s="7"/>
      <c r="F1261" s="9"/>
      <c r="H1261" s="10"/>
      <c r="I1261" s="10"/>
      <c r="J1261" s="10"/>
      <c r="K1261" s="10"/>
      <c r="L1261" s="10"/>
      <c r="M1261" s="10"/>
      <c r="N1261" s="10"/>
      <c r="O1261" s="7"/>
      <c r="P1261" s="7"/>
      <c r="Q1261" s="7"/>
      <c r="AB1261" s="7"/>
    </row>
    <row r="1262" spans="3:28" ht="13" x14ac:dyDescent="0.15">
      <c r="C1262" s="7"/>
      <c r="D1262" s="7"/>
      <c r="E1262" s="7"/>
      <c r="F1262" s="9"/>
      <c r="H1262" s="10"/>
      <c r="I1262" s="10"/>
      <c r="J1262" s="10"/>
      <c r="K1262" s="10"/>
      <c r="L1262" s="10"/>
      <c r="M1262" s="10"/>
      <c r="N1262" s="10"/>
      <c r="O1262" s="7"/>
      <c r="P1262" s="7"/>
      <c r="Q1262" s="7"/>
      <c r="AB1262" s="7"/>
    </row>
    <row r="1263" spans="3:28" ht="13" x14ac:dyDescent="0.15">
      <c r="C1263" s="7"/>
      <c r="D1263" s="7"/>
      <c r="E1263" s="7"/>
      <c r="F1263" s="9"/>
      <c r="H1263" s="10"/>
      <c r="I1263" s="10"/>
      <c r="J1263" s="10"/>
      <c r="K1263" s="10"/>
      <c r="L1263" s="10"/>
      <c r="M1263" s="10"/>
      <c r="N1263" s="10"/>
      <c r="O1263" s="7"/>
      <c r="P1263" s="7"/>
      <c r="Q1263" s="7"/>
      <c r="AB1263" s="7"/>
    </row>
    <row r="1264" spans="3:28" ht="13" x14ac:dyDescent="0.15">
      <c r="C1264" s="7"/>
      <c r="D1264" s="7"/>
      <c r="E1264" s="7"/>
      <c r="F1264" s="9"/>
      <c r="H1264" s="10"/>
      <c r="I1264" s="10"/>
      <c r="J1264" s="10"/>
      <c r="K1264" s="10"/>
      <c r="L1264" s="10"/>
      <c r="M1264" s="10"/>
      <c r="N1264" s="10"/>
      <c r="O1264" s="7"/>
      <c r="P1264" s="7"/>
      <c r="Q1264" s="7"/>
      <c r="AB1264" s="7"/>
    </row>
    <row r="1265" spans="3:28" ht="13" x14ac:dyDescent="0.15">
      <c r="C1265" s="7"/>
      <c r="D1265" s="7"/>
      <c r="E1265" s="7"/>
      <c r="F1265" s="9"/>
      <c r="H1265" s="10"/>
      <c r="I1265" s="10"/>
      <c r="J1265" s="10"/>
      <c r="K1265" s="10"/>
      <c r="L1265" s="10"/>
      <c r="M1265" s="10"/>
      <c r="N1265" s="10"/>
      <c r="O1265" s="7"/>
      <c r="P1265" s="7"/>
      <c r="Q1265" s="7"/>
      <c r="AB1265" s="7"/>
    </row>
    <row r="1266" spans="3:28" ht="13" x14ac:dyDescent="0.15">
      <c r="C1266" s="7"/>
      <c r="D1266" s="7"/>
      <c r="E1266" s="7"/>
      <c r="F1266" s="9"/>
      <c r="H1266" s="10"/>
      <c r="I1266" s="10"/>
      <c r="J1266" s="10"/>
      <c r="K1266" s="10"/>
      <c r="L1266" s="10"/>
      <c r="M1266" s="10"/>
      <c r="N1266" s="10"/>
      <c r="O1266" s="7"/>
      <c r="P1266" s="7"/>
      <c r="Q1266" s="7"/>
      <c r="AB1266" s="7"/>
    </row>
    <row r="1267" spans="3:28" ht="13" x14ac:dyDescent="0.15">
      <c r="C1267" s="7"/>
      <c r="D1267" s="7"/>
      <c r="E1267" s="7"/>
      <c r="F1267" s="9"/>
      <c r="H1267" s="10"/>
      <c r="I1267" s="10"/>
      <c r="J1267" s="10"/>
      <c r="K1267" s="10"/>
      <c r="L1267" s="10"/>
      <c r="M1267" s="10"/>
      <c r="N1267" s="10"/>
      <c r="O1267" s="7"/>
      <c r="P1267" s="7"/>
      <c r="Q1267" s="7"/>
      <c r="AB1267" s="7"/>
    </row>
    <row r="1268" spans="3:28" ht="13" x14ac:dyDescent="0.15">
      <c r="C1268" s="7"/>
      <c r="D1268" s="7"/>
      <c r="E1268" s="7"/>
      <c r="F1268" s="9"/>
      <c r="H1268" s="10"/>
      <c r="I1268" s="10"/>
      <c r="J1268" s="10"/>
      <c r="K1268" s="10"/>
      <c r="L1268" s="10"/>
      <c r="M1268" s="10"/>
      <c r="N1268" s="10"/>
      <c r="O1268" s="7"/>
      <c r="P1268" s="7"/>
      <c r="Q1268" s="7"/>
      <c r="AB1268" s="7"/>
    </row>
    <row r="1269" spans="3:28" ht="13" x14ac:dyDescent="0.15">
      <c r="C1269" s="7"/>
      <c r="D1269" s="7"/>
      <c r="E1269" s="7"/>
      <c r="F1269" s="9"/>
      <c r="H1269" s="10"/>
      <c r="I1269" s="10"/>
      <c r="J1269" s="10"/>
      <c r="K1269" s="10"/>
      <c r="L1269" s="10"/>
      <c r="M1269" s="10"/>
      <c r="N1269" s="10"/>
      <c r="O1269" s="7"/>
      <c r="P1269" s="7"/>
      <c r="Q1269" s="7"/>
      <c r="AB1269" s="7"/>
    </row>
    <row r="1270" spans="3:28" ht="13" x14ac:dyDescent="0.15">
      <c r="C1270" s="7"/>
      <c r="D1270" s="7"/>
      <c r="E1270" s="7"/>
      <c r="F1270" s="9"/>
      <c r="H1270" s="10"/>
      <c r="I1270" s="10"/>
      <c r="J1270" s="10"/>
      <c r="K1270" s="10"/>
      <c r="L1270" s="10"/>
      <c r="M1270" s="10"/>
      <c r="N1270" s="10"/>
      <c r="O1270" s="7"/>
      <c r="P1270" s="7"/>
      <c r="Q1270" s="7"/>
      <c r="AB1270" s="7"/>
    </row>
    <row r="1271" spans="3:28" ht="13" x14ac:dyDescent="0.15">
      <c r="C1271" s="7"/>
      <c r="D1271" s="7"/>
      <c r="E1271" s="7"/>
      <c r="F1271" s="9"/>
      <c r="H1271" s="10"/>
      <c r="I1271" s="10"/>
      <c r="J1271" s="10"/>
      <c r="K1271" s="10"/>
      <c r="L1271" s="10"/>
      <c r="M1271" s="10"/>
      <c r="N1271" s="10"/>
      <c r="O1271" s="7"/>
      <c r="P1271" s="7"/>
      <c r="Q1271" s="7"/>
      <c r="AB1271" s="7"/>
    </row>
    <row r="1272" spans="3:28" ht="13" x14ac:dyDescent="0.15">
      <c r="C1272" s="7"/>
      <c r="D1272" s="7"/>
      <c r="E1272" s="7"/>
      <c r="F1272" s="9"/>
      <c r="H1272" s="10"/>
      <c r="I1272" s="10"/>
      <c r="J1272" s="10"/>
      <c r="K1272" s="10"/>
      <c r="L1272" s="10"/>
      <c r="M1272" s="10"/>
      <c r="N1272" s="10"/>
      <c r="O1272" s="7"/>
      <c r="P1272" s="7"/>
      <c r="Q1272" s="7"/>
      <c r="AB1272" s="7"/>
    </row>
    <row r="1273" spans="3:28" ht="13" x14ac:dyDescent="0.15">
      <c r="C1273" s="7"/>
      <c r="D1273" s="7"/>
      <c r="E1273" s="7"/>
      <c r="F1273" s="9"/>
      <c r="H1273" s="10"/>
      <c r="I1273" s="10"/>
      <c r="J1273" s="10"/>
      <c r="K1273" s="10"/>
      <c r="L1273" s="10"/>
      <c r="M1273" s="10"/>
      <c r="N1273" s="10"/>
      <c r="O1273" s="7"/>
      <c r="P1273" s="7"/>
      <c r="Q1273" s="7"/>
      <c r="AB1273" s="7"/>
    </row>
    <row r="1274" spans="3:28" ht="13" x14ac:dyDescent="0.15">
      <c r="C1274" s="7"/>
      <c r="D1274" s="7"/>
      <c r="E1274" s="7"/>
      <c r="F1274" s="9"/>
      <c r="H1274" s="10"/>
      <c r="I1274" s="10"/>
      <c r="J1274" s="10"/>
      <c r="K1274" s="10"/>
      <c r="L1274" s="10"/>
      <c r="M1274" s="10"/>
      <c r="N1274" s="10"/>
      <c r="O1274" s="7"/>
      <c r="P1274" s="7"/>
      <c r="Q1274" s="7"/>
      <c r="AB1274" s="7"/>
    </row>
    <row r="1275" spans="3:28" ht="13" x14ac:dyDescent="0.15">
      <c r="C1275" s="7"/>
      <c r="D1275" s="7"/>
      <c r="E1275" s="7"/>
      <c r="F1275" s="9"/>
      <c r="H1275" s="10"/>
      <c r="I1275" s="10"/>
      <c r="J1275" s="10"/>
      <c r="K1275" s="10"/>
      <c r="L1275" s="10"/>
      <c r="M1275" s="10"/>
      <c r="N1275" s="10"/>
      <c r="O1275" s="7"/>
      <c r="P1275" s="7"/>
      <c r="Q1275" s="7"/>
      <c r="AB1275" s="7"/>
    </row>
    <row r="1276" spans="3:28" ht="13" x14ac:dyDescent="0.15">
      <c r="C1276" s="7"/>
      <c r="D1276" s="7"/>
      <c r="E1276" s="7"/>
      <c r="F1276" s="9"/>
      <c r="H1276" s="10"/>
      <c r="I1276" s="10"/>
      <c r="J1276" s="10"/>
      <c r="K1276" s="10"/>
      <c r="L1276" s="10"/>
      <c r="M1276" s="10"/>
      <c r="N1276" s="10"/>
      <c r="O1276" s="7"/>
      <c r="P1276" s="7"/>
      <c r="Q1276" s="7"/>
      <c r="AB1276" s="7"/>
    </row>
    <row r="1277" spans="3:28" ht="13" x14ac:dyDescent="0.15">
      <c r="C1277" s="7"/>
      <c r="D1277" s="7"/>
      <c r="E1277" s="7"/>
      <c r="F1277" s="9"/>
      <c r="H1277" s="10"/>
      <c r="I1277" s="10"/>
      <c r="J1277" s="10"/>
      <c r="K1277" s="10"/>
      <c r="L1277" s="10"/>
      <c r="M1277" s="10"/>
      <c r="N1277" s="10"/>
      <c r="O1277" s="7"/>
      <c r="P1277" s="7"/>
      <c r="Q1277" s="7"/>
      <c r="AB1277" s="7"/>
    </row>
    <row r="1278" spans="3:28" ht="13" x14ac:dyDescent="0.15">
      <c r="C1278" s="7"/>
      <c r="D1278" s="7"/>
      <c r="E1278" s="7"/>
      <c r="F1278" s="9"/>
      <c r="H1278" s="10"/>
      <c r="I1278" s="10"/>
      <c r="J1278" s="10"/>
      <c r="K1278" s="10"/>
      <c r="L1278" s="10"/>
      <c r="M1278" s="10"/>
      <c r="N1278" s="10"/>
      <c r="O1278" s="7"/>
      <c r="P1278" s="7"/>
      <c r="Q1278" s="7"/>
      <c r="AB1278" s="7"/>
    </row>
    <row r="1279" spans="3:28" ht="13" x14ac:dyDescent="0.15">
      <c r="C1279" s="7"/>
      <c r="D1279" s="7"/>
      <c r="E1279" s="7"/>
      <c r="F1279" s="9"/>
      <c r="H1279" s="10"/>
      <c r="I1279" s="10"/>
      <c r="J1279" s="10"/>
      <c r="K1279" s="10"/>
      <c r="L1279" s="10"/>
      <c r="M1279" s="10"/>
      <c r="N1279" s="10"/>
      <c r="O1279" s="7"/>
      <c r="P1279" s="7"/>
      <c r="Q1279" s="7"/>
      <c r="AB1279" s="7"/>
    </row>
    <row r="1280" spans="3:28" ht="13" x14ac:dyDescent="0.15">
      <c r="C1280" s="7"/>
      <c r="D1280" s="7"/>
      <c r="E1280" s="7"/>
      <c r="F1280" s="9"/>
      <c r="H1280" s="10"/>
      <c r="I1280" s="10"/>
      <c r="J1280" s="10"/>
      <c r="K1280" s="10"/>
      <c r="L1280" s="10"/>
      <c r="M1280" s="10"/>
      <c r="N1280" s="10"/>
      <c r="O1280" s="7"/>
      <c r="P1280" s="7"/>
      <c r="Q1280" s="7"/>
      <c r="AB1280" s="7"/>
    </row>
    <row r="1281" spans="3:28" ht="13" x14ac:dyDescent="0.15">
      <c r="C1281" s="7"/>
      <c r="D1281" s="7"/>
      <c r="E1281" s="7"/>
      <c r="F1281" s="9"/>
      <c r="H1281" s="10"/>
      <c r="I1281" s="10"/>
      <c r="J1281" s="10"/>
      <c r="K1281" s="10"/>
      <c r="L1281" s="10"/>
      <c r="M1281" s="10"/>
      <c r="N1281" s="10"/>
      <c r="O1281" s="7"/>
      <c r="P1281" s="7"/>
      <c r="Q1281" s="7"/>
      <c r="AB1281" s="7"/>
    </row>
    <row r="1282" spans="3:28" ht="13" x14ac:dyDescent="0.15">
      <c r="C1282" s="7"/>
      <c r="D1282" s="7"/>
      <c r="E1282" s="7"/>
      <c r="F1282" s="9"/>
      <c r="H1282" s="10"/>
      <c r="I1282" s="10"/>
      <c r="J1282" s="10"/>
      <c r="K1282" s="10"/>
      <c r="L1282" s="10"/>
      <c r="M1282" s="10"/>
      <c r="N1282" s="10"/>
      <c r="O1282" s="7"/>
      <c r="P1282" s="7"/>
      <c r="Q1282" s="7"/>
      <c r="AB1282" s="7"/>
    </row>
    <row r="1283" spans="3:28" ht="13" x14ac:dyDescent="0.15">
      <c r="C1283" s="7"/>
      <c r="D1283" s="7"/>
      <c r="E1283" s="7"/>
      <c r="F1283" s="9"/>
      <c r="H1283" s="10"/>
      <c r="I1283" s="10"/>
      <c r="J1283" s="10"/>
      <c r="K1283" s="10"/>
      <c r="L1283" s="10"/>
      <c r="M1283" s="10"/>
      <c r="N1283" s="10"/>
      <c r="O1283" s="7"/>
      <c r="P1283" s="7"/>
      <c r="Q1283" s="7"/>
      <c r="AB1283" s="7"/>
    </row>
    <row r="1284" spans="3:28" ht="13" x14ac:dyDescent="0.15">
      <c r="C1284" s="7"/>
      <c r="D1284" s="7"/>
      <c r="E1284" s="7"/>
      <c r="F1284" s="9"/>
      <c r="H1284" s="10"/>
      <c r="I1284" s="10"/>
      <c r="J1284" s="10"/>
      <c r="K1284" s="10"/>
      <c r="L1284" s="10"/>
      <c r="M1284" s="10"/>
      <c r="N1284" s="10"/>
      <c r="O1284" s="7"/>
      <c r="P1284" s="7"/>
      <c r="Q1284" s="7"/>
      <c r="AB1284" s="7"/>
    </row>
    <row r="1285" spans="3:28" ht="13" x14ac:dyDescent="0.15">
      <c r="C1285" s="7"/>
      <c r="D1285" s="7"/>
      <c r="E1285" s="7"/>
      <c r="F1285" s="9"/>
      <c r="H1285" s="10"/>
      <c r="I1285" s="10"/>
      <c r="J1285" s="10"/>
      <c r="K1285" s="10"/>
      <c r="L1285" s="10"/>
      <c r="M1285" s="10"/>
      <c r="N1285" s="10"/>
      <c r="O1285" s="7"/>
      <c r="P1285" s="7"/>
      <c r="Q1285" s="7"/>
      <c r="AB1285" s="7"/>
    </row>
    <row r="1286" spans="3:28" ht="13" x14ac:dyDescent="0.15">
      <c r="C1286" s="7"/>
      <c r="D1286" s="7"/>
      <c r="E1286" s="7"/>
      <c r="F1286" s="9"/>
      <c r="H1286" s="10"/>
      <c r="I1286" s="10"/>
      <c r="J1286" s="10"/>
      <c r="K1286" s="10"/>
      <c r="L1286" s="10"/>
      <c r="M1286" s="10"/>
      <c r="N1286" s="10"/>
      <c r="O1286" s="7"/>
      <c r="P1286" s="7"/>
      <c r="Q1286" s="7"/>
      <c r="AB1286" s="7"/>
    </row>
    <row r="1287" spans="3:28" ht="13" x14ac:dyDescent="0.15">
      <c r="C1287" s="7"/>
      <c r="D1287" s="7"/>
      <c r="E1287" s="7"/>
      <c r="F1287" s="9"/>
      <c r="H1287" s="10"/>
      <c r="I1287" s="10"/>
      <c r="J1287" s="10"/>
      <c r="K1287" s="10"/>
      <c r="L1287" s="10"/>
      <c r="M1287" s="10"/>
      <c r="N1287" s="10"/>
      <c r="O1287" s="7"/>
      <c r="P1287" s="7"/>
      <c r="Q1287" s="7"/>
      <c r="AB1287" s="7"/>
    </row>
    <row r="1288" spans="3:28" ht="13" x14ac:dyDescent="0.15">
      <c r="C1288" s="7"/>
      <c r="D1288" s="7"/>
      <c r="E1288" s="7"/>
      <c r="F1288" s="9"/>
      <c r="H1288" s="10"/>
      <c r="I1288" s="10"/>
      <c r="J1288" s="10"/>
      <c r="K1288" s="10"/>
      <c r="L1288" s="10"/>
      <c r="M1288" s="10"/>
      <c r="N1288" s="10"/>
      <c r="O1288" s="7"/>
      <c r="P1288" s="7"/>
      <c r="Q1288" s="7"/>
      <c r="AB1288" s="7"/>
    </row>
    <row r="1289" spans="3:28" ht="13" x14ac:dyDescent="0.15">
      <c r="C1289" s="7"/>
      <c r="D1289" s="7"/>
      <c r="E1289" s="7"/>
      <c r="F1289" s="9"/>
      <c r="H1289" s="10"/>
      <c r="I1289" s="10"/>
      <c r="J1289" s="10"/>
      <c r="K1289" s="10"/>
      <c r="L1289" s="10"/>
      <c r="M1289" s="10"/>
      <c r="N1289" s="10"/>
      <c r="O1289" s="7"/>
      <c r="P1289" s="7"/>
      <c r="Q1289" s="7"/>
      <c r="AB1289" s="7"/>
    </row>
    <row r="1290" spans="3:28" ht="13" x14ac:dyDescent="0.15">
      <c r="C1290" s="7"/>
      <c r="D1290" s="7"/>
      <c r="E1290" s="7"/>
      <c r="F1290" s="9"/>
      <c r="H1290" s="10"/>
      <c r="I1290" s="10"/>
      <c r="J1290" s="10"/>
      <c r="K1290" s="10"/>
      <c r="L1290" s="10"/>
      <c r="M1290" s="10"/>
      <c r="N1290" s="10"/>
      <c r="O1290" s="7"/>
      <c r="P1290" s="7"/>
      <c r="Q1290" s="7"/>
      <c r="AB1290" s="7"/>
    </row>
    <row r="1291" spans="3:28" ht="13" x14ac:dyDescent="0.15">
      <c r="C1291" s="7"/>
      <c r="D1291" s="7"/>
      <c r="E1291" s="7"/>
      <c r="F1291" s="9"/>
      <c r="H1291" s="10"/>
      <c r="I1291" s="10"/>
      <c r="J1291" s="10"/>
      <c r="K1291" s="10"/>
      <c r="L1291" s="10"/>
      <c r="M1291" s="10"/>
      <c r="N1291" s="10"/>
      <c r="O1291" s="7"/>
      <c r="P1291" s="7"/>
      <c r="Q1291" s="7"/>
      <c r="AB1291" s="7"/>
    </row>
    <row r="1292" spans="3:28" ht="13" x14ac:dyDescent="0.15">
      <c r="C1292" s="7"/>
      <c r="D1292" s="7"/>
      <c r="E1292" s="7"/>
      <c r="F1292" s="9"/>
      <c r="H1292" s="10"/>
      <c r="I1292" s="10"/>
      <c r="J1292" s="10"/>
      <c r="K1292" s="10"/>
      <c r="L1292" s="10"/>
      <c r="M1292" s="10"/>
      <c r="N1292" s="10"/>
      <c r="O1292" s="7"/>
      <c r="P1292" s="7"/>
      <c r="Q1292" s="7"/>
      <c r="AB1292" s="7"/>
    </row>
    <row r="1293" spans="3:28" ht="13" x14ac:dyDescent="0.15">
      <c r="C1293" s="7"/>
      <c r="D1293" s="7"/>
      <c r="E1293" s="7"/>
      <c r="F1293" s="9"/>
      <c r="H1293" s="10"/>
      <c r="I1293" s="10"/>
      <c r="J1293" s="10"/>
      <c r="K1293" s="10"/>
      <c r="L1293" s="10"/>
      <c r="M1293" s="10"/>
      <c r="N1293" s="10"/>
      <c r="O1293" s="7"/>
      <c r="P1293" s="7"/>
      <c r="Q1293" s="7"/>
      <c r="AB1293" s="7"/>
    </row>
    <row r="1294" spans="3:28" ht="13" x14ac:dyDescent="0.15">
      <c r="C1294" s="7"/>
      <c r="D1294" s="7"/>
      <c r="E1294" s="7"/>
      <c r="F1294" s="9"/>
      <c r="H1294" s="10"/>
      <c r="I1294" s="10"/>
      <c r="J1294" s="10"/>
      <c r="K1294" s="10"/>
      <c r="L1294" s="10"/>
      <c r="M1294" s="10"/>
      <c r="N1294" s="10"/>
      <c r="O1294" s="7"/>
      <c r="P1294" s="7"/>
      <c r="Q1294" s="7"/>
      <c r="AB1294" s="7"/>
    </row>
    <row r="1295" spans="3:28" ht="13" x14ac:dyDescent="0.15">
      <c r="C1295" s="7"/>
      <c r="D1295" s="7"/>
      <c r="E1295" s="7"/>
      <c r="F1295" s="9"/>
      <c r="H1295" s="10"/>
      <c r="I1295" s="10"/>
      <c r="J1295" s="10"/>
      <c r="K1295" s="10"/>
      <c r="L1295" s="10"/>
      <c r="M1295" s="10"/>
      <c r="N1295" s="10"/>
      <c r="O1295" s="7"/>
      <c r="P1295" s="7"/>
      <c r="Q1295" s="7"/>
      <c r="AB1295" s="7"/>
    </row>
    <row r="1296" spans="3:28" ht="13" x14ac:dyDescent="0.15">
      <c r="C1296" s="7"/>
      <c r="D1296" s="7"/>
      <c r="E1296" s="7"/>
      <c r="F1296" s="9"/>
      <c r="H1296" s="10"/>
      <c r="I1296" s="10"/>
      <c r="J1296" s="10"/>
      <c r="K1296" s="10"/>
      <c r="L1296" s="10"/>
      <c r="M1296" s="10"/>
      <c r="N1296" s="10"/>
      <c r="O1296" s="7"/>
      <c r="P1296" s="7"/>
      <c r="Q1296" s="7"/>
      <c r="AB1296" s="7"/>
    </row>
    <row r="1297" spans="3:28" ht="13" x14ac:dyDescent="0.15">
      <c r="C1297" s="7"/>
      <c r="D1297" s="7"/>
      <c r="E1297" s="7"/>
      <c r="F1297" s="9"/>
      <c r="H1297" s="10"/>
      <c r="I1297" s="10"/>
      <c r="J1297" s="10"/>
      <c r="K1297" s="10"/>
      <c r="L1297" s="10"/>
      <c r="M1297" s="10"/>
      <c r="N1297" s="10"/>
      <c r="O1297" s="7"/>
      <c r="P1297" s="7"/>
      <c r="Q1297" s="7"/>
      <c r="AB1297" s="7"/>
    </row>
    <row r="1298" spans="3:28" ht="13" x14ac:dyDescent="0.15">
      <c r="C1298" s="7"/>
      <c r="D1298" s="7"/>
      <c r="E1298" s="7"/>
      <c r="F1298" s="9"/>
      <c r="H1298" s="10"/>
      <c r="I1298" s="10"/>
      <c r="J1298" s="10"/>
      <c r="K1298" s="10"/>
      <c r="L1298" s="10"/>
      <c r="M1298" s="10"/>
      <c r="N1298" s="10"/>
      <c r="O1298" s="7"/>
      <c r="P1298" s="7"/>
      <c r="Q1298" s="7"/>
      <c r="AB1298" s="7"/>
    </row>
    <row r="1299" spans="3:28" ht="13" x14ac:dyDescent="0.15">
      <c r="C1299" s="7"/>
      <c r="D1299" s="7"/>
      <c r="E1299" s="7"/>
      <c r="F1299" s="9"/>
      <c r="H1299" s="10"/>
      <c r="I1299" s="10"/>
      <c r="J1299" s="10"/>
      <c r="K1299" s="10"/>
      <c r="L1299" s="10"/>
      <c r="M1299" s="10"/>
      <c r="N1299" s="10"/>
      <c r="O1299" s="7"/>
      <c r="P1299" s="7"/>
      <c r="Q1299" s="7"/>
      <c r="AB1299" s="7"/>
    </row>
    <row r="1300" spans="3:28" ht="13" x14ac:dyDescent="0.15">
      <c r="C1300" s="7"/>
      <c r="D1300" s="7"/>
      <c r="E1300" s="7"/>
      <c r="F1300" s="9"/>
      <c r="H1300" s="10"/>
      <c r="I1300" s="10"/>
      <c r="J1300" s="10"/>
      <c r="K1300" s="10"/>
      <c r="L1300" s="10"/>
      <c r="M1300" s="10"/>
      <c r="N1300" s="10"/>
      <c r="O1300" s="7"/>
      <c r="P1300" s="7"/>
      <c r="Q1300" s="7"/>
      <c r="AB1300" s="7"/>
    </row>
    <row r="1301" spans="3:28" ht="13" x14ac:dyDescent="0.15">
      <c r="C1301" s="7"/>
      <c r="D1301" s="7"/>
      <c r="E1301" s="7"/>
      <c r="F1301" s="9"/>
      <c r="H1301" s="10"/>
      <c r="I1301" s="10"/>
      <c r="J1301" s="10"/>
      <c r="K1301" s="10"/>
      <c r="L1301" s="10"/>
      <c r="M1301" s="10"/>
      <c r="N1301" s="10"/>
      <c r="O1301" s="7"/>
      <c r="P1301" s="7"/>
      <c r="Q1301" s="7"/>
      <c r="AB1301" s="7"/>
    </row>
    <row r="1302" spans="3:28" ht="13" x14ac:dyDescent="0.15">
      <c r="C1302" s="7"/>
      <c r="D1302" s="7"/>
      <c r="E1302" s="7"/>
      <c r="F1302" s="9"/>
      <c r="H1302" s="10"/>
      <c r="I1302" s="10"/>
      <c r="J1302" s="10"/>
      <c r="K1302" s="10"/>
      <c r="L1302" s="10"/>
      <c r="M1302" s="10"/>
      <c r="N1302" s="10"/>
      <c r="O1302" s="7"/>
      <c r="P1302" s="7"/>
      <c r="Q1302" s="7"/>
      <c r="AB1302" s="7"/>
    </row>
    <row r="1303" spans="3:28" ht="13" x14ac:dyDescent="0.15">
      <c r="C1303" s="7"/>
      <c r="D1303" s="7"/>
      <c r="E1303" s="7"/>
      <c r="F1303" s="9"/>
      <c r="H1303" s="10"/>
      <c r="I1303" s="10"/>
      <c r="J1303" s="10"/>
      <c r="K1303" s="10"/>
      <c r="L1303" s="10"/>
      <c r="M1303" s="10"/>
      <c r="N1303" s="10"/>
      <c r="O1303" s="7"/>
      <c r="P1303" s="7"/>
      <c r="Q1303" s="7"/>
      <c r="AB1303" s="7"/>
    </row>
    <row r="1304" spans="3:28" ht="13" x14ac:dyDescent="0.15">
      <c r="C1304" s="7"/>
      <c r="D1304" s="7"/>
      <c r="E1304" s="7"/>
      <c r="F1304" s="9"/>
      <c r="H1304" s="10"/>
      <c r="I1304" s="10"/>
      <c r="J1304" s="10"/>
      <c r="K1304" s="10"/>
      <c r="L1304" s="10"/>
      <c r="M1304" s="10"/>
      <c r="N1304" s="10"/>
      <c r="O1304" s="7"/>
      <c r="P1304" s="7"/>
      <c r="Q1304" s="7"/>
      <c r="AB1304" s="7"/>
    </row>
    <row r="1305" spans="3:28" ht="13" x14ac:dyDescent="0.15">
      <c r="C1305" s="7"/>
      <c r="D1305" s="7"/>
      <c r="E1305" s="7"/>
      <c r="F1305" s="9"/>
      <c r="H1305" s="10"/>
      <c r="I1305" s="10"/>
      <c r="J1305" s="10"/>
      <c r="K1305" s="10"/>
      <c r="L1305" s="10"/>
      <c r="M1305" s="10"/>
      <c r="N1305" s="10"/>
      <c r="O1305" s="7"/>
      <c r="P1305" s="7"/>
      <c r="Q1305" s="7"/>
      <c r="AB1305" s="7"/>
    </row>
    <row r="1306" spans="3:28" ht="13" x14ac:dyDescent="0.15">
      <c r="C1306" s="7"/>
      <c r="D1306" s="7"/>
      <c r="E1306" s="7"/>
      <c r="F1306" s="9"/>
      <c r="H1306" s="10"/>
      <c r="I1306" s="10"/>
      <c r="J1306" s="10"/>
      <c r="K1306" s="10"/>
      <c r="L1306" s="10"/>
      <c r="M1306" s="10"/>
      <c r="N1306" s="10"/>
      <c r="O1306" s="7"/>
      <c r="P1306" s="7"/>
      <c r="Q1306" s="7"/>
      <c r="AB1306" s="7"/>
    </row>
    <row r="1307" spans="3:28" ht="13" x14ac:dyDescent="0.15">
      <c r="C1307" s="7"/>
      <c r="D1307" s="7"/>
      <c r="E1307" s="7"/>
      <c r="F1307" s="9"/>
      <c r="H1307" s="10"/>
      <c r="I1307" s="10"/>
      <c r="J1307" s="10"/>
      <c r="K1307" s="10"/>
      <c r="L1307" s="10"/>
      <c r="M1307" s="10"/>
      <c r="N1307" s="10"/>
      <c r="O1307" s="7"/>
      <c r="P1307" s="7"/>
      <c r="Q1307" s="7"/>
      <c r="AB1307" s="7"/>
    </row>
    <row r="1308" spans="3:28" ht="13" x14ac:dyDescent="0.15">
      <c r="C1308" s="7"/>
      <c r="D1308" s="7"/>
      <c r="E1308" s="7"/>
      <c r="F1308" s="9"/>
      <c r="H1308" s="10"/>
      <c r="I1308" s="10"/>
      <c r="J1308" s="10"/>
      <c r="K1308" s="10"/>
      <c r="L1308" s="10"/>
      <c r="M1308" s="10"/>
      <c r="N1308" s="10"/>
      <c r="O1308" s="7"/>
      <c r="P1308" s="7"/>
      <c r="Q1308" s="7"/>
      <c r="AB1308" s="7"/>
    </row>
    <row r="1309" spans="3:28" ht="13" x14ac:dyDescent="0.15">
      <c r="C1309" s="7"/>
      <c r="D1309" s="7"/>
      <c r="E1309" s="7"/>
      <c r="F1309" s="9"/>
      <c r="H1309" s="10"/>
      <c r="I1309" s="10"/>
      <c r="J1309" s="10"/>
      <c r="K1309" s="10"/>
      <c r="L1309" s="10"/>
      <c r="M1309" s="10"/>
      <c r="N1309" s="10"/>
      <c r="O1309" s="7"/>
      <c r="P1309" s="7"/>
      <c r="Q1309" s="7"/>
      <c r="AB1309" s="7"/>
    </row>
    <row r="1310" spans="3:28" ht="13" x14ac:dyDescent="0.15">
      <c r="C1310" s="7"/>
      <c r="D1310" s="7"/>
      <c r="E1310" s="7"/>
      <c r="F1310" s="9"/>
      <c r="H1310" s="10"/>
      <c r="I1310" s="10"/>
      <c r="J1310" s="10"/>
      <c r="K1310" s="10"/>
      <c r="L1310" s="10"/>
      <c r="M1310" s="10"/>
      <c r="N1310" s="10"/>
      <c r="O1310" s="7"/>
      <c r="P1310" s="7"/>
      <c r="Q1310" s="7"/>
      <c r="AB1310" s="7"/>
    </row>
    <row r="1311" spans="3:28" ht="13" x14ac:dyDescent="0.15">
      <c r="C1311" s="7"/>
      <c r="D1311" s="7"/>
      <c r="E1311" s="7"/>
      <c r="F1311" s="9"/>
      <c r="H1311" s="10"/>
      <c r="I1311" s="10"/>
      <c r="J1311" s="10"/>
      <c r="K1311" s="10"/>
      <c r="L1311" s="10"/>
      <c r="M1311" s="10"/>
      <c r="N1311" s="10"/>
      <c r="O1311" s="7"/>
      <c r="P1311" s="7"/>
      <c r="Q1311" s="7"/>
      <c r="AB1311" s="7"/>
    </row>
    <row r="1312" spans="3:28" ht="13" x14ac:dyDescent="0.15">
      <c r="C1312" s="7"/>
      <c r="D1312" s="7"/>
      <c r="E1312" s="7"/>
      <c r="F1312" s="9"/>
      <c r="H1312" s="10"/>
      <c r="I1312" s="10"/>
      <c r="J1312" s="10"/>
      <c r="K1312" s="10"/>
      <c r="L1312" s="10"/>
      <c r="M1312" s="10"/>
      <c r="N1312" s="10"/>
      <c r="O1312" s="7"/>
      <c r="P1312" s="7"/>
      <c r="Q1312" s="7"/>
      <c r="AB1312" s="7"/>
    </row>
    <row r="1313" spans="3:28" ht="13" x14ac:dyDescent="0.15">
      <c r="C1313" s="7"/>
      <c r="D1313" s="7"/>
      <c r="E1313" s="7"/>
      <c r="F1313" s="9"/>
      <c r="H1313" s="10"/>
      <c r="I1313" s="10"/>
      <c r="J1313" s="10"/>
      <c r="K1313" s="10"/>
      <c r="L1313" s="10"/>
      <c r="M1313" s="10"/>
      <c r="N1313" s="10"/>
      <c r="O1313" s="7"/>
      <c r="P1313" s="7"/>
      <c r="Q1313" s="7"/>
      <c r="AB1313" s="7"/>
    </row>
    <row r="1314" spans="3:28" ht="13" x14ac:dyDescent="0.15">
      <c r="C1314" s="7"/>
      <c r="D1314" s="7"/>
      <c r="E1314" s="7"/>
      <c r="F1314" s="9"/>
      <c r="H1314" s="10"/>
      <c r="I1314" s="10"/>
      <c r="J1314" s="10"/>
      <c r="K1314" s="10"/>
      <c r="L1314" s="10"/>
      <c r="M1314" s="10"/>
      <c r="N1314" s="10"/>
      <c r="O1314" s="7"/>
      <c r="P1314" s="7"/>
      <c r="Q1314" s="7"/>
      <c r="AB1314" s="7"/>
    </row>
    <row r="1315" spans="3:28" ht="13" x14ac:dyDescent="0.15">
      <c r="C1315" s="7"/>
      <c r="D1315" s="7"/>
      <c r="E1315" s="7"/>
      <c r="F1315" s="9"/>
      <c r="H1315" s="10"/>
      <c r="I1315" s="10"/>
      <c r="J1315" s="10"/>
      <c r="K1315" s="10"/>
      <c r="L1315" s="10"/>
      <c r="M1315" s="10"/>
      <c r="N1315" s="10"/>
      <c r="O1315" s="7"/>
      <c r="P1315" s="7"/>
      <c r="Q1315" s="7"/>
      <c r="AB1315" s="7"/>
    </row>
    <row r="1316" spans="3:28" ht="13" x14ac:dyDescent="0.15">
      <c r="C1316" s="7"/>
      <c r="D1316" s="7"/>
      <c r="E1316" s="7"/>
      <c r="F1316" s="9"/>
      <c r="H1316" s="10"/>
      <c r="I1316" s="10"/>
      <c r="J1316" s="10"/>
      <c r="K1316" s="10"/>
      <c r="L1316" s="10"/>
      <c r="M1316" s="10"/>
      <c r="N1316" s="10"/>
      <c r="O1316" s="7"/>
      <c r="P1316" s="7"/>
      <c r="Q1316" s="7"/>
      <c r="AB1316" s="7"/>
    </row>
    <row r="1317" spans="3:28" ht="13" x14ac:dyDescent="0.15">
      <c r="C1317" s="7"/>
      <c r="D1317" s="7"/>
      <c r="E1317" s="7"/>
      <c r="F1317" s="9"/>
      <c r="H1317" s="10"/>
      <c r="I1317" s="10"/>
      <c r="J1317" s="10"/>
      <c r="K1317" s="10"/>
      <c r="L1317" s="10"/>
      <c r="M1317" s="10"/>
      <c r="N1317" s="10"/>
      <c r="O1317" s="7"/>
      <c r="P1317" s="7"/>
      <c r="Q1317" s="7"/>
      <c r="AB1317" s="7"/>
    </row>
    <row r="1318" spans="3:28" ht="13" x14ac:dyDescent="0.15">
      <c r="C1318" s="7"/>
      <c r="D1318" s="7"/>
      <c r="E1318" s="7"/>
      <c r="F1318" s="9"/>
      <c r="H1318" s="10"/>
      <c r="I1318" s="10"/>
      <c r="J1318" s="10"/>
      <c r="K1318" s="10"/>
      <c r="L1318" s="10"/>
      <c r="M1318" s="10"/>
      <c r="N1318" s="10"/>
      <c r="O1318" s="7"/>
      <c r="P1318" s="7"/>
      <c r="Q1318" s="7"/>
      <c r="AB1318" s="7"/>
    </row>
    <row r="1319" spans="3:28" ht="13" x14ac:dyDescent="0.15">
      <c r="C1319" s="7"/>
      <c r="D1319" s="7"/>
      <c r="E1319" s="7"/>
      <c r="F1319" s="9"/>
      <c r="H1319" s="10"/>
      <c r="I1319" s="10"/>
      <c r="J1319" s="10"/>
      <c r="K1319" s="10"/>
      <c r="L1319" s="10"/>
      <c r="M1319" s="10"/>
      <c r="N1319" s="10"/>
      <c r="O1319" s="7"/>
      <c r="P1319" s="7"/>
      <c r="Q1319" s="7"/>
      <c r="AB1319" s="7"/>
    </row>
    <row r="1320" spans="3:28" ht="13" x14ac:dyDescent="0.15">
      <c r="C1320" s="7"/>
      <c r="D1320" s="7"/>
      <c r="E1320" s="7"/>
      <c r="F1320" s="9"/>
      <c r="H1320" s="10"/>
      <c r="I1320" s="10"/>
      <c r="J1320" s="10"/>
      <c r="K1320" s="10"/>
      <c r="L1320" s="10"/>
      <c r="M1320" s="10"/>
      <c r="N1320" s="10"/>
      <c r="O1320" s="7"/>
      <c r="P1320" s="7"/>
      <c r="Q1320" s="7"/>
      <c r="AB1320" s="7"/>
    </row>
    <row r="1321" spans="3:28" ht="13" x14ac:dyDescent="0.15">
      <c r="C1321" s="7"/>
      <c r="D1321" s="7"/>
      <c r="E1321" s="7"/>
      <c r="F1321" s="9"/>
      <c r="H1321" s="10"/>
      <c r="I1321" s="10"/>
      <c r="J1321" s="10"/>
      <c r="K1321" s="10"/>
      <c r="L1321" s="10"/>
      <c r="M1321" s="10"/>
      <c r="N1321" s="10"/>
      <c r="O1321" s="7"/>
      <c r="P1321" s="7"/>
      <c r="Q1321" s="7"/>
      <c r="AB1321" s="7"/>
    </row>
    <row r="1322" spans="3:28" ht="13" x14ac:dyDescent="0.15">
      <c r="C1322" s="7"/>
      <c r="D1322" s="7"/>
      <c r="E1322" s="7"/>
      <c r="F1322" s="9"/>
      <c r="H1322" s="10"/>
      <c r="I1322" s="10"/>
      <c r="J1322" s="10"/>
      <c r="K1322" s="10"/>
      <c r="L1322" s="10"/>
      <c r="M1322" s="10"/>
      <c r="N1322" s="10"/>
      <c r="O1322" s="7"/>
      <c r="P1322" s="7"/>
      <c r="Q1322" s="7"/>
      <c r="AB1322" s="7"/>
    </row>
    <row r="1323" spans="3:28" ht="13" x14ac:dyDescent="0.15">
      <c r="C1323" s="7"/>
      <c r="D1323" s="7"/>
      <c r="E1323" s="7"/>
      <c r="F1323" s="9"/>
      <c r="H1323" s="10"/>
      <c r="I1323" s="10"/>
      <c r="J1323" s="10"/>
      <c r="K1323" s="10"/>
      <c r="L1323" s="10"/>
      <c r="M1323" s="10"/>
      <c r="N1323" s="10"/>
      <c r="O1323" s="7"/>
      <c r="P1323" s="7"/>
      <c r="Q1323" s="7"/>
      <c r="AB1323" s="7"/>
    </row>
    <row r="1324" spans="3:28" ht="13" x14ac:dyDescent="0.15">
      <c r="C1324" s="7"/>
      <c r="D1324" s="7"/>
      <c r="E1324" s="7"/>
      <c r="F1324" s="9"/>
      <c r="H1324" s="10"/>
      <c r="I1324" s="10"/>
      <c r="J1324" s="10"/>
      <c r="K1324" s="10"/>
      <c r="L1324" s="10"/>
      <c r="M1324" s="10"/>
      <c r="N1324" s="10"/>
      <c r="O1324" s="7"/>
      <c r="P1324" s="7"/>
      <c r="Q1324" s="7"/>
      <c r="AB1324" s="7"/>
    </row>
    <row r="1325" spans="3:28" ht="13" x14ac:dyDescent="0.15">
      <c r="C1325" s="7"/>
      <c r="D1325" s="7"/>
      <c r="E1325" s="7"/>
      <c r="F1325" s="9"/>
      <c r="H1325" s="10"/>
      <c r="I1325" s="10"/>
      <c r="J1325" s="10"/>
      <c r="K1325" s="10"/>
      <c r="L1325" s="10"/>
      <c r="M1325" s="10"/>
      <c r="N1325" s="10"/>
      <c r="O1325" s="7"/>
      <c r="P1325" s="7"/>
      <c r="Q1325" s="7"/>
      <c r="AB1325" s="7"/>
    </row>
    <row r="1326" spans="3:28" ht="13" x14ac:dyDescent="0.15">
      <c r="C1326" s="7"/>
      <c r="D1326" s="7"/>
      <c r="E1326" s="7"/>
      <c r="F1326" s="9"/>
      <c r="H1326" s="10"/>
      <c r="I1326" s="10"/>
      <c r="J1326" s="10"/>
      <c r="K1326" s="10"/>
      <c r="L1326" s="10"/>
      <c r="M1326" s="10"/>
      <c r="N1326" s="10"/>
      <c r="O1326" s="7"/>
      <c r="P1326" s="7"/>
      <c r="Q1326" s="7"/>
      <c r="AB1326" s="7"/>
    </row>
    <row r="1327" spans="3:28" ht="13" x14ac:dyDescent="0.15">
      <c r="C1327" s="7"/>
      <c r="D1327" s="7"/>
      <c r="E1327" s="7"/>
      <c r="F1327" s="9"/>
      <c r="H1327" s="10"/>
      <c r="I1327" s="10"/>
      <c r="J1327" s="10"/>
      <c r="K1327" s="10"/>
      <c r="L1327" s="10"/>
      <c r="M1327" s="10"/>
      <c r="N1327" s="10"/>
      <c r="O1327" s="7"/>
      <c r="P1327" s="7"/>
      <c r="Q1327" s="7"/>
      <c r="AB1327" s="7"/>
    </row>
    <row r="1328" spans="3:28" ht="13" x14ac:dyDescent="0.15">
      <c r="C1328" s="7"/>
      <c r="D1328" s="7"/>
      <c r="E1328" s="7"/>
      <c r="F1328" s="9"/>
      <c r="H1328" s="10"/>
      <c r="I1328" s="10"/>
      <c r="J1328" s="10"/>
      <c r="K1328" s="10"/>
      <c r="L1328" s="10"/>
      <c r="M1328" s="10"/>
      <c r="N1328" s="10"/>
      <c r="O1328" s="7"/>
      <c r="P1328" s="7"/>
      <c r="Q1328" s="7"/>
      <c r="AB1328" s="7"/>
    </row>
    <row r="1329" spans="3:28" ht="13" x14ac:dyDescent="0.15">
      <c r="C1329" s="7"/>
      <c r="D1329" s="7"/>
      <c r="E1329" s="7"/>
      <c r="F1329" s="9"/>
      <c r="H1329" s="10"/>
      <c r="I1329" s="10"/>
      <c r="J1329" s="10"/>
      <c r="K1329" s="10"/>
      <c r="L1329" s="10"/>
      <c r="M1329" s="10"/>
      <c r="N1329" s="10"/>
      <c r="O1329" s="7"/>
      <c r="P1329" s="7"/>
      <c r="Q1329" s="7"/>
      <c r="AB1329" s="7"/>
    </row>
    <row r="1330" spans="3:28" ht="13" x14ac:dyDescent="0.15">
      <c r="C1330" s="7"/>
      <c r="D1330" s="7"/>
      <c r="E1330" s="7"/>
      <c r="F1330" s="9"/>
      <c r="H1330" s="10"/>
      <c r="I1330" s="10"/>
      <c r="J1330" s="10"/>
      <c r="K1330" s="10"/>
      <c r="L1330" s="10"/>
      <c r="M1330" s="10"/>
      <c r="N1330" s="10"/>
      <c r="O1330" s="7"/>
      <c r="P1330" s="7"/>
      <c r="Q1330" s="7"/>
      <c r="AB1330" s="7"/>
    </row>
    <row r="1331" spans="3:28" ht="13" x14ac:dyDescent="0.15">
      <c r="C1331" s="7"/>
      <c r="D1331" s="7"/>
      <c r="E1331" s="7"/>
      <c r="F1331" s="9"/>
      <c r="H1331" s="10"/>
      <c r="I1331" s="10"/>
      <c r="J1331" s="10"/>
      <c r="K1331" s="10"/>
      <c r="L1331" s="10"/>
      <c r="M1331" s="10"/>
      <c r="N1331" s="10"/>
      <c r="O1331" s="7"/>
      <c r="P1331" s="7"/>
      <c r="Q1331" s="7"/>
      <c r="AB1331" s="7"/>
    </row>
    <row r="1332" spans="3:28" ht="13" x14ac:dyDescent="0.15">
      <c r="C1332" s="7"/>
      <c r="D1332" s="7"/>
      <c r="E1332" s="7"/>
      <c r="F1332" s="9"/>
      <c r="H1332" s="10"/>
      <c r="I1332" s="10"/>
      <c r="J1332" s="10"/>
      <c r="K1332" s="10"/>
      <c r="L1332" s="10"/>
      <c r="M1332" s="10"/>
      <c r="N1332" s="10"/>
      <c r="O1332" s="7"/>
      <c r="P1332" s="7"/>
      <c r="Q1332" s="7"/>
      <c r="AB1332" s="7"/>
    </row>
    <row r="1333" spans="3:28" ht="13" x14ac:dyDescent="0.15">
      <c r="C1333" s="7"/>
      <c r="D1333" s="7"/>
      <c r="E1333" s="7"/>
      <c r="F1333" s="9"/>
      <c r="H1333" s="10"/>
      <c r="I1333" s="10"/>
      <c r="J1333" s="10"/>
      <c r="K1333" s="10"/>
      <c r="L1333" s="10"/>
      <c r="M1333" s="10"/>
      <c r="N1333" s="10"/>
      <c r="O1333" s="7"/>
      <c r="P1333" s="7"/>
      <c r="Q1333" s="7"/>
      <c r="AB1333" s="7"/>
    </row>
    <row r="1334" spans="3:28" ht="13" x14ac:dyDescent="0.15">
      <c r="C1334" s="7"/>
      <c r="D1334" s="7"/>
      <c r="E1334" s="7"/>
      <c r="F1334" s="9"/>
      <c r="H1334" s="10"/>
      <c r="I1334" s="10"/>
      <c r="J1334" s="10"/>
      <c r="K1334" s="10"/>
      <c r="L1334" s="10"/>
      <c r="M1334" s="10"/>
      <c r="N1334" s="10"/>
      <c r="O1334" s="7"/>
      <c r="P1334" s="7"/>
      <c r="Q1334" s="7"/>
      <c r="AB1334" s="7"/>
    </row>
    <row r="1335" spans="3:28" ht="13" x14ac:dyDescent="0.15">
      <c r="C1335" s="7"/>
      <c r="D1335" s="7"/>
      <c r="E1335" s="7"/>
      <c r="F1335" s="9"/>
      <c r="H1335" s="10"/>
      <c r="I1335" s="10"/>
      <c r="J1335" s="10"/>
      <c r="K1335" s="10"/>
      <c r="L1335" s="10"/>
      <c r="M1335" s="10"/>
      <c r="N1335" s="10"/>
      <c r="O1335" s="7"/>
      <c r="P1335" s="7"/>
      <c r="Q1335" s="7"/>
      <c r="AB1335" s="7"/>
    </row>
    <row r="1336" spans="3:28" ht="13" x14ac:dyDescent="0.15">
      <c r="C1336" s="7"/>
      <c r="D1336" s="7"/>
      <c r="E1336" s="7"/>
      <c r="F1336" s="9"/>
      <c r="H1336" s="10"/>
      <c r="I1336" s="10"/>
      <c r="J1336" s="10"/>
      <c r="K1336" s="10"/>
      <c r="L1336" s="10"/>
      <c r="M1336" s="10"/>
      <c r="N1336" s="10"/>
      <c r="O1336" s="7"/>
      <c r="P1336" s="7"/>
      <c r="Q1336" s="7"/>
      <c r="AB1336" s="7"/>
    </row>
    <row r="1337" spans="3:28" ht="13" x14ac:dyDescent="0.15">
      <c r="C1337" s="7"/>
      <c r="D1337" s="7"/>
      <c r="E1337" s="7"/>
      <c r="F1337" s="9"/>
      <c r="H1337" s="10"/>
      <c r="I1337" s="10"/>
      <c r="J1337" s="10"/>
      <c r="K1337" s="10"/>
      <c r="L1337" s="10"/>
      <c r="M1337" s="10"/>
      <c r="N1337" s="10"/>
      <c r="O1337" s="7"/>
      <c r="P1337" s="7"/>
      <c r="Q1337" s="7"/>
      <c r="AB1337" s="7"/>
    </row>
    <row r="1338" spans="3:28" ht="13" x14ac:dyDescent="0.15">
      <c r="C1338" s="7"/>
      <c r="D1338" s="7"/>
      <c r="E1338" s="7"/>
      <c r="F1338" s="9"/>
      <c r="H1338" s="10"/>
      <c r="I1338" s="10"/>
      <c r="J1338" s="10"/>
      <c r="K1338" s="10"/>
      <c r="L1338" s="10"/>
      <c r="M1338" s="10"/>
      <c r="N1338" s="10"/>
      <c r="O1338" s="7"/>
      <c r="P1338" s="7"/>
      <c r="Q1338" s="7"/>
      <c r="AB1338" s="7"/>
    </row>
    <row r="1339" spans="3:28" ht="13" x14ac:dyDescent="0.15">
      <c r="C1339" s="7"/>
      <c r="D1339" s="7"/>
      <c r="E1339" s="7"/>
      <c r="F1339" s="9"/>
      <c r="H1339" s="10"/>
      <c r="I1339" s="10"/>
      <c r="J1339" s="10"/>
      <c r="K1339" s="10"/>
      <c r="L1339" s="10"/>
      <c r="M1339" s="10"/>
      <c r="N1339" s="10"/>
      <c r="O1339" s="7"/>
      <c r="P1339" s="7"/>
      <c r="Q1339" s="7"/>
      <c r="AB1339" s="7"/>
    </row>
    <row r="1340" spans="3:28" ht="13" x14ac:dyDescent="0.15">
      <c r="C1340" s="7"/>
      <c r="D1340" s="7"/>
      <c r="E1340" s="7"/>
      <c r="F1340" s="9"/>
      <c r="H1340" s="10"/>
      <c r="I1340" s="10"/>
      <c r="J1340" s="10"/>
      <c r="K1340" s="10"/>
      <c r="L1340" s="10"/>
      <c r="M1340" s="10"/>
      <c r="N1340" s="10"/>
      <c r="O1340" s="7"/>
      <c r="P1340" s="7"/>
      <c r="Q1340" s="7"/>
      <c r="AB1340" s="7"/>
    </row>
    <row r="1341" spans="3:28" ht="13" x14ac:dyDescent="0.15">
      <c r="C1341" s="7"/>
      <c r="D1341" s="7"/>
      <c r="E1341" s="7"/>
      <c r="F1341" s="9"/>
      <c r="H1341" s="10"/>
      <c r="I1341" s="10"/>
      <c r="J1341" s="10"/>
      <c r="K1341" s="10"/>
      <c r="L1341" s="10"/>
      <c r="M1341" s="10"/>
      <c r="N1341" s="10"/>
      <c r="O1341" s="7"/>
      <c r="P1341" s="7"/>
      <c r="Q1341" s="7"/>
      <c r="AB1341" s="7"/>
    </row>
    <row r="1342" spans="3:28" ht="13" x14ac:dyDescent="0.15">
      <c r="C1342" s="7"/>
      <c r="D1342" s="7"/>
      <c r="E1342" s="7"/>
      <c r="F1342" s="9"/>
      <c r="H1342" s="10"/>
      <c r="I1342" s="10"/>
      <c r="J1342" s="10"/>
      <c r="K1342" s="10"/>
      <c r="L1342" s="10"/>
      <c r="M1342" s="10"/>
      <c r="N1342" s="10"/>
      <c r="O1342" s="7"/>
      <c r="P1342" s="7"/>
      <c r="Q1342" s="7"/>
      <c r="AB1342" s="7"/>
    </row>
    <row r="1343" spans="3:28" ht="13" x14ac:dyDescent="0.15">
      <c r="C1343" s="7"/>
      <c r="D1343" s="7"/>
      <c r="E1343" s="7"/>
      <c r="F1343" s="9"/>
      <c r="H1343" s="10"/>
      <c r="I1343" s="10"/>
      <c r="J1343" s="10"/>
      <c r="K1343" s="10"/>
      <c r="L1343" s="10"/>
      <c r="M1343" s="10"/>
      <c r="N1343" s="10"/>
      <c r="O1343" s="7"/>
      <c r="P1343" s="7"/>
      <c r="Q1343" s="7"/>
      <c r="AB1343" s="7"/>
    </row>
    <row r="1344" spans="3:28" ht="13" x14ac:dyDescent="0.15">
      <c r="C1344" s="7"/>
      <c r="D1344" s="7"/>
      <c r="E1344" s="7"/>
      <c r="F1344" s="9"/>
      <c r="H1344" s="10"/>
      <c r="I1344" s="10"/>
      <c r="J1344" s="10"/>
      <c r="K1344" s="10"/>
      <c r="L1344" s="10"/>
      <c r="M1344" s="10"/>
      <c r="N1344" s="10"/>
      <c r="O1344" s="7"/>
      <c r="P1344" s="7"/>
      <c r="Q1344" s="7"/>
      <c r="AB1344" s="7"/>
    </row>
    <row r="1345" spans="3:28" ht="13" x14ac:dyDescent="0.15">
      <c r="C1345" s="7"/>
      <c r="D1345" s="7"/>
      <c r="E1345" s="7"/>
      <c r="F1345" s="9"/>
      <c r="H1345" s="10"/>
      <c r="I1345" s="10"/>
      <c r="J1345" s="10"/>
      <c r="K1345" s="10"/>
      <c r="L1345" s="10"/>
      <c r="M1345" s="10"/>
      <c r="N1345" s="10"/>
      <c r="O1345" s="7"/>
      <c r="P1345" s="7"/>
      <c r="Q1345" s="7"/>
      <c r="AB1345" s="7"/>
    </row>
    <row r="1346" spans="3:28" ht="13" x14ac:dyDescent="0.15">
      <c r="C1346" s="7"/>
      <c r="D1346" s="7"/>
      <c r="E1346" s="7"/>
      <c r="F1346" s="9"/>
      <c r="H1346" s="10"/>
      <c r="I1346" s="10"/>
      <c r="J1346" s="10"/>
      <c r="K1346" s="10"/>
      <c r="L1346" s="10"/>
      <c r="M1346" s="10"/>
      <c r="N1346" s="10"/>
      <c r="O1346" s="7"/>
      <c r="P1346" s="7"/>
      <c r="Q1346" s="7"/>
      <c r="AB1346" s="7"/>
    </row>
    <row r="1347" spans="3:28" ht="13" x14ac:dyDescent="0.15">
      <c r="C1347" s="7"/>
      <c r="D1347" s="7"/>
      <c r="E1347" s="7"/>
      <c r="F1347" s="9"/>
      <c r="H1347" s="10"/>
      <c r="I1347" s="10"/>
      <c r="J1347" s="10"/>
      <c r="K1347" s="10"/>
      <c r="L1347" s="10"/>
      <c r="M1347" s="10"/>
      <c r="N1347" s="10"/>
      <c r="O1347" s="7"/>
      <c r="P1347" s="7"/>
      <c r="Q1347" s="7"/>
      <c r="AB1347" s="7"/>
    </row>
    <row r="1348" spans="3:28" ht="13" x14ac:dyDescent="0.15">
      <c r="C1348" s="7"/>
      <c r="D1348" s="7"/>
      <c r="E1348" s="7"/>
      <c r="F1348" s="9"/>
      <c r="H1348" s="10"/>
      <c r="I1348" s="10"/>
      <c r="J1348" s="10"/>
      <c r="K1348" s="10"/>
      <c r="L1348" s="10"/>
      <c r="M1348" s="10"/>
      <c r="N1348" s="10"/>
      <c r="O1348" s="7"/>
      <c r="P1348" s="7"/>
      <c r="Q1348" s="7"/>
      <c r="AB1348" s="7"/>
    </row>
    <row r="1349" spans="3:28" ht="13" x14ac:dyDescent="0.15">
      <c r="C1349" s="7"/>
      <c r="D1349" s="7"/>
      <c r="E1349" s="7"/>
      <c r="F1349" s="9"/>
      <c r="H1349" s="10"/>
      <c r="I1349" s="10"/>
      <c r="J1349" s="10"/>
      <c r="K1349" s="10"/>
      <c r="L1349" s="10"/>
      <c r="M1349" s="10"/>
      <c r="N1349" s="10"/>
      <c r="O1349" s="7"/>
      <c r="P1349" s="7"/>
      <c r="Q1349" s="7"/>
      <c r="AB1349" s="7"/>
    </row>
    <row r="1350" spans="3:28" ht="13" x14ac:dyDescent="0.15">
      <c r="C1350" s="7"/>
      <c r="D1350" s="7"/>
      <c r="E1350" s="7"/>
      <c r="F1350" s="9"/>
      <c r="H1350" s="10"/>
      <c r="I1350" s="10"/>
      <c r="J1350" s="10"/>
      <c r="K1350" s="10"/>
      <c r="L1350" s="10"/>
      <c r="M1350" s="10"/>
      <c r="N1350" s="10"/>
      <c r="O1350" s="7"/>
      <c r="P1350" s="7"/>
      <c r="Q1350" s="7"/>
      <c r="AB1350" s="7"/>
    </row>
    <row r="1351" spans="3:28" ht="13" x14ac:dyDescent="0.15">
      <c r="C1351" s="7"/>
      <c r="D1351" s="7"/>
      <c r="E1351" s="7"/>
      <c r="F1351" s="9"/>
      <c r="H1351" s="10"/>
      <c r="I1351" s="10"/>
      <c r="J1351" s="10"/>
      <c r="K1351" s="10"/>
      <c r="L1351" s="10"/>
      <c r="M1351" s="10"/>
      <c r="N1351" s="10"/>
      <c r="O1351" s="7"/>
      <c r="P1351" s="7"/>
      <c r="Q1351" s="7"/>
      <c r="AB1351" s="7"/>
    </row>
    <row r="1352" spans="3:28" ht="13" x14ac:dyDescent="0.15">
      <c r="C1352" s="7"/>
      <c r="D1352" s="7"/>
      <c r="E1352" s="7"/>
      <c r="F1352" s="9"/>
      <c r="H1352" s="10"/>
      <c r="I1352" s="10"/>
      <c r="J1352" s="10"/>
      <c r="K1352" s="10"/>
      <c r="L1352" s="10"/>
      <c r="M1352" s="10"/>
      <c r="N1352" s="10"/>
      <c r="O1352" s="7"/>
      <c r="P1352" s="7"/>
      <c r="Q1352" s="7"/>
      <c r="AB1352" s="7"/>
    </row>
    <row r="1353" spans="3:28" ht="13" x14ac:dyDescent="0.15">
      <c r="C1353" s="7"/>
      <c r="D1353" s="7"/>
      <c r="E1353" s="7"/>
      <c r="F1353" s="9"/>
      <c r="H1353" s="10"/>
      <c r="I1353" s="10"/>
      <c r="J1353" s="10"/>
      <c r="K1353" s="10"/>
      <c r="L1353" s="10"/>
      <c r="M1353" s="10"/>
      <c r="N1353" s="10"/>
      <c r="O1353" s="7"/>
      <c r="P1353" s="7"/>
      <c r="Q1353" s="7"/>
      <c r="AB1353" s="7"/>
    </row>
    <row r="1354" spans="3:28" ht="13" x14ac:dyDescent="0.15">
      <c r="C1354" s="7"/>
      <c r="D1354" s="7"/>
      <c r="E1354" s="7"/>
      <c r="F1354" s="9"/>
      <c r="H1354" s="10"/>
      <c r="I1354" s="10"/>
      <c r="J1354" s="10"/>
      <c r="K1354" s="10"/>
      <c r="L1354" s="10"/>
      <c r="M1354" s="10"/>
      <c r="N1354" s="10"/>
      <c r="O1354" s="7"/>
      <c r="P1354" s="7"/>
      <c r="Q1354" s="7"/>
      <c r="AB1354" s="7"/>
    </row>
    <row r="1355" spans="3:28" ht="13" x14ac:dyDescent="0.15">
      <c r="C1355" s="7"/>
      <c r="D1355" s="7"/>
      <c r="E1355" s="7"/>
      <c r="F1355" s="9"/>
      <c r="H1355" s="10"/>
      <c r="I1355" s="10"/>
      <c r="J1355" s="10"/>
      <c r="K1355" s="10"/>
      <c r="L1355" s="10"/>
      <c r="M1355" s="10"/>
      <c r="N1355" s="10"/>
      <c r="O1355" s="7"/>
      <c r="P1355" s="7"/>
      <c r="Q1355" s="7"/>
      <c r="AB1355" s="7"/>
    </row>
    <row r="1356" spans="3:28" ht="13" x14ac:dyDescent="0.15">
      <c r="C1356" s="7"/>
      <c r="D1356" s="7"/>
      <c r="E1356" s="7"/>
      <c r="F1356" s="9"/>
      <c r="H1356" s="10"/>
      <c r="I1356" s="10"/>
      <c r="J1356" s="10"/>
      <c r="K1356" s="10"/>
      <c r="L1356" s="10"/>
      <c r="M1356" s="10"/>
      <c r="N1356" s="10"/>
      <c r="O1356" s="7"/>
      <c r="P1356" s="7"/>
      <c r="Q1356" s="7"/>
      <c r="AB1356" s="7"/>
    </row>
    <row r="1357" spans="3:28" ht="13" x14ac:dyDescent="0.15">
      <c r="C1357" s="7"/>
      <c r="D1357" s="7"/>
      <c r="E1357" s="7"/>
      <c r="F1357" s="9"/>
      <c r="H1357" s="10"/>
      <c r="I1357" s="10"/>
      <c r="J1357" s="10"/>
      <c r="K1357" s="10"/>
      <c r="L1357" s="10"/>
      <c r="M1357" s="10"/>
      <c r="N1357" s="10"/>
      <c r="O1357" s="7"/>
      <c r="P1357" s="7"/>
      <c r="Q1357" s="7"/>
      <c r="AB1357" s="7"/>
    </row>
    <row r="1358" spans="3:28" ht="13" x14ac:dyDescent="0.15">
      <c r="C1358" s="7"/>
      <c r="D1358" s="7"/>
      <c r="E1358" s="7"/>
      <c r="F1358" s="9"/>
      <c r="H1358" s="10"/>
      <c r="I1358" s="10"/>
      <c r="J1358" s="10"/>
      <c r="K1358" s="10"/>
      <c r="L1358" s="10"/>
      <c r="M1358" s="10"/>
      <c r="N1358" s="10"/>
      <c r="O1358" s="7"/>
      <c r="P1358" s="7"/>
      <c r="Q1358" s="7"/>
      <c r="AB1358" s="7"/>
    </row>
    <row r="1359" spans="3:28" ht="13" x14ac:dyDescent="0.15">
      <c r="C1359" s="7"/>
      <c r="D1359" s="7"/>
      <c r="E1359" s="7"/>
      <c r="F1359" s="9"/>
      <c r="H1359" s="10"/>
      <c r="I1359" s="10"/>
      <c r="J1359" s="10"/>
      <c r="K1359" s="10"/>
      <c r="L1359" s="10"/>
      <c r="M1359" s="10"/>
      <c r="N1359" s="10"/>
      <c r="O1359" s="7"/>
      <c r="P1359" s="7"/>
      <c r="Q1359" s="7"/>
      <c r="AB1359" s="7"/>
    </row>
    <row r="1360" spans="3:28" ht="13" x14ac:dyDescent="0.15">
      <c r="C1360" s="7"/>
      <c r="D1360" s="7"/>
      <c r="E1360" s="7"/>
      <c r="F1360" s="9"/>
      <c r="H1360" s="10"/>
      <c r="I1360" s="10"/>
      <c r="J1360" s="10"/>
      <c r="K1360" s="10"/>
      <c r="L1360" s="10"/>
      <c r="M1360" s="10"/>
      <c r="N1360" s="10"/>
      <c r="O1360" s="7"/>
      <c r="P1360" s="7"/>
      <c r="Q1360" s="7"/>
      <c r="AB1360" s="7"/>
    </row>
    <row r="1361" spans="3:28" ht="13" x14ac:dyDescent="0.15">
      <c r="C1361" s="7"/>
      <c r="D1361" s="7"/>
      <c r="E1361" s="7"/>
      <c r="F1361" s="9"/>
      <c r="H1361" s="10"/>
      <c r="I1361" s="10"/>
      <c r="J1361" s="10"/>
      <c r="K1361" s="10"/>
      <c r="L1361" s="10"/>
      <c r="M1361" s="10"/>
      <c r="N1361" s="10"/>
      <c r="O1361" s="7"/>
      <c r="P1361" s="7"/>
      <c r="Q1361" s="7"/>
      <c r="AB1361" s="7"/>
    </row>
    <row r="1362" spans="3:28" ht="13" x14ac:dyDescent="0.15">
      <c r="C1362" s="7"/>
      <c r="D1362" s="7"/>
      <c r="E1362" s="7"/>
      <c r="F1362" s="9"/>
      <c r="H1362" s="10"/>
      <c r="I1362" s="10"/>
      <c r="J1362" s="10"/>
      <c r="K1362" s="10"/>
      <c r="L1362" s="10"/>
      <c r="M1362" s="10"/>
      <c r="N1362" s="10"/>
      <c r="O1362" s="7"/>
      <c r="P1362" s="7"/>
      <c r="Q1362" s="7"/>
      <c r="AB1362" s="7"/>
    </row>
    <row r="1363" spans="3:28" ht="13" x14ac:dyDescent="0.15">
      <c r="C1363" s="7"/>
      <c r="D1363" s="7"/>
      <c r="E1363" s="7"/>
      <c r="F1363" s="9"/>
      <c r="H1363" s="10"/>
      <c r="I1363" s="10"/>
      <c r="J1363" s="10"/>
      <c r="K1363" s="10"/>
      <c r="L1363" s="10"/>
      <c r="M1363" s="10"/>
      <c r="N1363" s="10"/>
      <c r="O1363" s="7"/>
      <c r="P1363" s="7"/>
      <c r="Q1363" s="7"/>
      <c r="AB1363" s="7"/>
    </row>
    <row r="1364" spans="3:28" ht="13" x14ac:dyDescent="0.15">
      <c r="C1364" s="7"/>
      <c r="D1364" s="7"/>
      <c r="E1364" s="7"/>
      <c r="F1364" s="9"/>
      <c r="H1364" s="10"/>
      <c r="I1364" s="10"/>
      <c r="J1364" s="10"/>
      <c r="K1364" s="10"/>
      <c r="L1364" s="10"/>
      <c r="M1364" s="10"/>
      <c r="N1364" s="10"/>
      <c r="O1364" s="7"/>
      <c r="P1364" s="7"/>
      <c r="Q1364" s="7"/>
      <c r="AB1364" s="7"/>
    </row>
    <row r="1365" spans="3:28" ht="13" x14ac:dyDescent="0.15">
      <c r="C1365" s="7"/>
      <c r="D1365" s="7"/>
      <c r="E1365" s="7"/>
      <c r="F1365" s="9"/>
      <c r="H1365" s="10"/>
      <c r="I1365" s="10"/>
      <c r="J1365" s="10"/>
      <c r="K1365" s="10"/>
      <c r="L1365" s="10"/>
      <c r="M1365" s="10"/>
      <c r="N1365" s="10"/>
      <c r="O1365" s="7"/>
      <c r="P1365" s="7"/>
      <c r="Q1365" s="7"/>
      <c r="AB1365" s="7"/>
    </row>
    <row r="1366" spans="3:28" ht="13" x14ac:dyDescent="0.15">
      <c r="C1366" s="7"/>
      <c r="D1366" s="7"/>
      <c r="E1366" s="7"/>
      <c r="F1366" s="9"/>
      <c r="H1366" s="10"/>
      <c r="I1366" s="10"/>
      <c r="J1366" s="10"/>
      <c r="K1366" s="10"/>
      <c r="L1366" s="10"/>
      <c r="M1366" s="10"/>
      <c r="N1366" s="10"/>
      <c r="O1366" s="7"/>
      <c r="P1366" s="7"/>
      <c r="Q1366" s="7"/>
      <c r="AB1366" s="7"/>
    </row>
    <row r="1367" spans="3:28" ht="13" x14ac:dyDescent="0.15">
      <c r="C1367" s="7"/>
      <c r="D1367" s="7"/>
      <c r="E1367" s="7"/>
      <c r="F1367" s="9"/>
      <c r="H1367" s="10"/>
      <c r="I1367" s="10"/>
      <c r="J1367" s="10"/>
      <c r="K1367" s="10"/>
      <c r="L1367" s="10"/>
      <c r="M1367" s="10"/>
      <c r="N1367" s="10"/>
      <c r="O1367" s="7"/>
      <c r="P1367" s="7"/>
      <c r="Q1367" s="7"/>
      <c r="AB1367" s="7"/>
    </row>
    <row r="1368" spans="3:28" ht="13" x14ac:dyDescent="0.15">
      <c r="C1368" s="7"/>
      <c r="D1368" s="7"/>
      <c r="E1368" s="7"/>
      <c r="F1368" s="9"/>
      <c r="H1368" s="10"/>
      <c r="I1368" s="10"/>
      <c r="J1368" s="10"/>
      <c r="K1368" s="10"/>
      <c r="L1368" s="10"/>
      <c r="M1368" s="10"/>
      <c r="N1368" s="10"/>
      <c r="O1368" s="7"/>
      <c r="P1368" s="7"/>
      <c r="Q1368" s="7"/>
      <c r="AB1368" s="7"/>
    </row>
    <row r="1369" spans="3:28" ht="13" x14ac:dyDescent="0.15">
      <c r="C1369" s="7"/>
      <c r="D1369" s="7"/>
      <c r="E1369" s="7"/>
      <c r="F1369" s="9"/>
      <c r="H1369" s="10"/>
      <c r="I1369" s="10"/>
      <c r="J1369" s="10"/>
      <c r="K1369" s="10"/>
      <c r="L1369" s="10"/>
      <c r="M1369" s="10"/>
      <c r="N1369" s="10"/>
      <c r="O1369" s="7"/>
      <c r="P1369" s="7"/>
      <c r="Q1369" s="7"/>
      <c r="AB1369" s="7"/>
    </row>
    <row r="1370" spans="3:28" ht="13" x14ac:dyDescent="0.15">
      <c r="C1370" s="7"/>
      <c r="D1370" s="7"/>
      <c r="E1370" s="7"/>
      <c r="F1370" s="9"/>
      <c r="H1370" s="10"/>
      <c r="I1370" s="10"/>
      <c r="J1370" s="10"/>
      <c r="K1370" s="10"/>
      <c r="L1370" s="10"/>
      <c r="M1370" s="10"/>
      <c r="N1370" s="10"/>
      <c r="O1370" s="7"/>
      <c r="P1370" s="7"/>
      <c r="Q1370" s="7"/>
      <c r="AB1370" s="7"/>
    </row>
    <row r="1371" spans="3:28" ht="13" x14ac:dyDescent="0.15">
      <c r="C1371" s="7"/>
      <c r="D1371" s="7"/>
      <c r="E1371" s="7"/>
      <c r="F1371" s="9"/>
      <c r="H1371" s="10"/>
      <c r="I1371" s="10"/>
      <c r="J1371" s="10"/>
      <c r="K1371" s="10"/>
      <c r="L1371" s="10"/>
      <c r="M1371" s="10"/>
      <c r="N1371" s="10"/>
      <c r="O1371" s="7"/>
      <c r="P1371" s="7"/>
      <c r="Q1371" s="7"/>
      <c r="AB1371" s="7"/>
    </row>
    <row r="1372" spans="3:28" ht="13" x14ac:dyDescent="0.15">
      <c r="C1372" s="7"/>
      <c r="D1372" s="7"/>
      <c r="E1372" s="7"/>
      <c r="F1372" s="9"/>
      <c r="H1372" s="10"/>
      <c r="I1372" s="10"/>
      <c r="J1372" s="10"/>
      <c r="K1372" s="10"/>
      <c r="L1372" s="10"/>
      <c r="M1372" s="10"/>
      <c r="N1372" s="10"/>
      <c r="O1372" s="7"/>
      <c r="P1372" s="7"/>
      <c r="Q1372" s="7"/>
      <c r="AB1372" s="7"/>
    </row>
    <row r="1373" spans="3:28" ht="13" x14ac:dyDescent="0.15">
      <c r="C1373" s="7"/>
      <c r="D1373" s="7"/>
      <c r="E1373" s="7"/>
      <c r="F1373" s="9"/>
      <c r="H1373" s="10"/>
      <c r="I1373" s="10"/>
      <c r="J1373" s="10"/>
      <c r="K1373" s="10"/>
      <c r="L1373" s="10"/>
      <c r="M1373" s="10"/>
      <c r="N1373" s="10"/>
      <c r="O1373" s="7"/>
      <c r="P1373" s="7"/>
      <c r="Q1373" s="7"/>
      <c r="AB1373" s="7"/>
    </row>
    <row r="1374" spans="3:28" ht="13" x14ac:dyDescent="0.15">
      <c r="C1374" s="7"/>
      <c r="D1374" s="7"/>
      <c r="E1374" s="7"/>
      <c r="F1374" s="9"/>
      <c r="H1374" s="10"/>
      <c r="I1374" s="10"/>
      <c r="J1374" s="10"/>
      <c r="K1374" s="10"/>
      <c r="L1374" s="10"/>
      <c r="M1374" s="10"/>
      <c r="N1374" s="10"/>
      <c r="O1374" s="7"/>
      <c r="P1374" s="7"/>
      <c r="Q1374" s="7"/>
      <c r="AB1374" s="7"/>
    </row>
    <row r="1375" spans="3:28" ht="13" x14ac:dyDescent="0.15">
      <c r="C1375" s="7"/>
      <c r="D1375" s="7"/>
      <c r="E1375" s="7"/>
      <c r="F1375" s="9"/>
      <c r="H1375" s="10"/>
      <c r="I1375" s="10"/>
      <c r="J1375" s="10"/>
      <c r="K1375" s="10"/>
      <c r="L1375" s="10"/>
      <c r="M1375" s="10"/>
      <c r="N1375" s="10"/>
      <c r="O1375" s="7"/>
      <c r="P1375" s="7"/>
      <c r="Q1375" s="7"/>
      <c r="AB1375" s="7"/>
    </row>
    <row r="1376" spans="3:28" ht="13" x14ac:dyDescent="0.15">
      <c r="C1376" s="7"/>
      <c r="D1376" s="7"/>
      <c r="E1376" s="7"/>
      <c r="F1376" s="9"/>
      <c r="H1376" s="10"/>
      <c r="I1376" s="10"/>
      <c r="J1376" s="10"/>
      <c r="K1376" s="10"/>
      <c r="L1376" s="10"/>
      <c r="M1376" s="10"/>
      <c r="N1376" s="10"/>
      <c r="O1376" s="7"/>
      <c r="P1376" s="7"/>
      <c r="Q1376" s="7"/>
      <c r="AB1376" s="7"/>
    </row>
    <row r="1377" spans="3:28" ht="13" x14ac:dyDescent="0.15">
      <c r="C1377" s="7"/>
      <c r="D1377" s="7"/>
      <c r="E1377" s="7"/>
      <c r="F1377" s="9"/>
      <c r="H1377" s="10"/>
      <c r="I1377" s="10"/>
      <c r="J1377" s="10"/>
      <c r="K1377" s="10"/>
      <c r="L1377" s="10"/>
      <c r="M1377" s="10"/>
      <c r="N1377" s="10"/>
      <c r="O1377" s="7"/>
      <c r="P1377" s="7"/>
      <c r="Q1377" s="7"/>
      <c r="AB1377" s="7"/>
    </row>
    <row r="1378" spans="3:28" ht="13" x14ac:dyDescent="0.15">
      <c r="C1378" s="7"/>
      <c r="D1378" s="7"/>
      <c r="E1378" s="7"/>
      <c r="F1378" s="9"/>
      <c r="H1378" s="10"/>
      <c r="I1378" s="10"/>
      <c r="J1378" s="10"/>
      <c r="K1378" s="10"/>
      <c r="L1378" s="10"/>
      <c r="M1378" s="10"/>
      <c r="N1378" s="10"/>
      <c r="O1378" s="7"/>
      <c r="P1378" s="7"/>
      <c r="Q1378" s="7"/>
      <c r="AB1378" s="7"/>
    </row>
    <row r="1379" spans="3:28" ht="13" x14ac:dyDescent="0.15">
      <c r="C1379" s="7"/>
      <c r="D1379" s="7"/>
      <c r="E1379" s="7"/>
      <c r="F1379" s="9"/>
      <c r="H1379" s="10"/>
      <c r="I1379" s="10"/>
      <c r="J1379" s="10"/>
      <c r="K1379" s="10"/>
      <c r="L1379" s="10"/>
      <c r="M1379" s="10"/>
      <c r="N1379" s="10"/>
      <c r="O1379" s="7"/>
      <c r="P1379" s="7"/>
      <c r="Q1379" s="7"/>
      <c r="AB1379" s="7"/>
    </row>
    <row r="1380" spans="3:28" ht="13" x14ac:dyDescent="0.15">
      <c r="C1380" s="7"/>
      <c r="D1380" s="7"/>
      <c r="E1380" s="7"/>
      <c r="F1380" s="9"/>
      <c r="H1380" s="10"/>
      <c r="I1380" s="10"/>
      <c r="J1380" s="10"/>
      <c r="K1380" s="10"/>
      <c r="L1380" s="10"/>
      <c r="M1380" s="10"/>
      <c r="N1380" s="10"/>
      <c r="O1380" s="7"/>
      <c r="P1380" s="7"/>
      <c r="Q1380" s="7"/>
      <c r="AB1380" s="7"/>
    </row>
    <row r="1381" spans="3:28" ht="13" x14ac:dyDescent="0.15">
      <c r="C1381" s="7"/>
      <c r="D1381" s="7"/>
      <c r="E1381" s="7"/>
      <c r="F1381" s="9"/>
      <c r="H1381" s="10"/>
      <c r="I1381" s="10"/>
      <c r="J1381" s="10"/>
      <c r="K1381" s="10"/>
      <c r="L1381" s="10"/>
      <c r="M1381" s="10"/>
      <c r="N1381" s="10"/>
      <c r="O1381" s="7"/>
      <c r="P1381" s="7"/>
      <c r="Q1381" s="7"/>
      <c r="AB1381" s="7"/>
    </row>
    <row r="1382" spans="3:28" ht="13" x14ac:dyDescent="0.15">
      <c r="C1382" s="7"/>
      <c r="D1382" s="7"/>
      <c r="E1382" s="7"/>
      <c r="F1382" s="9"/>
      <c r="H1382" s="10"/>
      <c r="I1382" s="10"/>
      <c r="J1382" s="10"/>
      <c r="K1382" s="10"/>
      <c r="L1382" s="10"/>
      <c r="M1382" s="10"/>
      <c r="N1382" s="10"/>
      <c r="O1382" s="7"/>
      <c r="P1382" s="7"/>
      <c r="Q1382" s="7"/>
      <c r="AB1382" s="7"/>
    </row>
    <row r="1383" spans="3:28" ht="13" x14ac:dyDescent="0.15">
      <c r="C1383" s="7"/>
      <c r="D1383" s="7"/>
      <c r="E1383" s="7"/>
      <c r="F1383" s="9"/>
      <c r="H1383" s="10"/>
      <c r="I1383" s="10"/>
      <c r="J1383" s="10"/>
      <c r="K1383" s="10"/>
      <c r="L1383" s="10"/>
      <c r="M1383" s="10"/>
      <c r="N1383" s="10"/>
      <c r="O1383" s="7"/>
      <c r="P1383" s="7"/>
      <c r="Q1383" s="7"/>
      <c r="AB1383" s="7"/>
    </row>
    <row r="1384" spans="3:28" ht="13" x14ac:dyDescent="0.15">
      <c r="C1384" s="7"/>
      <c r="D1384" s="7"/>
      <c r="E1384" s="7"/>
      <c r="F1384" s="9"/>
      <c r="H1384" s="10"/>
      <c r="I1384" s="10"/>
      <c r="J1384" s="10"/>
      <c r="K1384" s="10"/>
      <c r="L1384" s="10"/>
      <c r="M1384" s="10"/>
      <c r="N1384" s="10"/>
      <c r="O1384" s="7"/>
      <c r="P1384" s="7"/>
      <c r="Q1384" s="7"/>
      <c r="AB1384" s="7"/>
    </row>
    <row r="1385" spans="3:28" ht="13" x14ac:dyDescent="0.15">
      <c r="C1385" s="7"/>
      <c r="D1385" s="7"/>
      <c r="E1385" s="7"/>
      <c r="F1385" s="9"/>
      <c r="H1385" s="10"/>
      <c r="I1385" s="10"/>
      <c r="J1385" s="10"/>
      <c r="K1385" s="10"/>
      <c r="L1385" s="10"/>
      <c r="M1385" s="10"/>
      <c r="N1385" s="10"/>
      <c r="O1385" s="7"/>
      <c r="P1385" s="7"/>
      <c r="Q1385" s="7"/>
      <c r="AB1385" s="7"/>
    </row>
    <row r="1386" spans="3:28" ht="13" x14ac:dyDescent="0.15">
      <c r="C1386" s="7"/>
      <c r="D1386" s="7"/>
      <c r="E1386" s="7"/>
      <c r="F1386" s="9"/>
      <c r="H1386" s="10"/>
      <c r="I1386" s="10"/>
      <c r="J1386" s="10"/>
      <c r="K1386" s="10"/>
      <c r="L1386" s="10"/>
      <c r="M1386" s="10"/>
      <c r="N1386" s="10"/>
      <c r="O1386" s="7"/>
      <c r="P1386" s="7"/>
      <c r="Q1386" s="7"/>
      <c r="AB1386" s="7"/>
    </row>
    <row r="1387" spans="3:28" ht="13" x14ac:dyDescent="0.15">
      <c r="C1387" s="7"/>
      <c r="D1387" s="7"/>
      <c r="E1387" s="7"/>
      <c r="F1387" s="9"/>
      <c r="H1387" s="10"/>
      <c r="I1387" s="10"/>
      <c r="J1387" s="10"/>
      <c r="K1387" s="10"/>
      <c r="L1387" s="10"/>
      <c r="M1387" s="10"/>
      <c r="N1387" s="10"/>
      <c r="O1387" s="7"/>
      <c r="P1387" s="7"/>
      <c r="Q1387" s="7"/>
      <c r="AB1387" s="7"/>
    </row>
    <row r="1388" spans="3:28" ht="13" x14ac:dyDescent="0.15">
      <c r="C1388" s="7"/>
      <c r="D1388" s="7"/>
      <c r="E1388" s="7"/>
      <c r="F1388" s="9"/>
      <c r="H1388" s="10"/>
      <c r="I1388" s="10"/>
      <c r="J1388" s="10"/>
      <c r="K1388" s="10"/>
      <c r="L1388" s="10"/>
      <c r="M1388" s="10"/>
      <c r="N1388" s="10"/>
      <c r="O1388" s="7"/>
      <c r="P1388" s="7"/>
      <c r="Q1388" s="7"/>
      <c r="AB1388" s="7"/>
    </row>
    <row r="1389" spans="3:28" ht="13" x14ac:dyDescent="0.15">
      <c r="C1389" s="7"/>
      <c r="D1389" s="7"/>
      <c r="E1389" s="7"/>
      <c r="F1389" s="9"/>
      <c r="H1389" s="10"/>
      <c r="I1389" s="10"/>
      <c r="J1389" s="10"/>
      <c r="K1389" s="10"/>
      <c r="L1389" s="10"/>
      <c r="M1389" s="10"/>
      <c r="N1389" s="10"/>
      <c r="O1389" s="7"/>
      <c r="P1389" s="7"/>
      <c r="Q1389" s="7"/>
      <c r="AB1389" s="7"/>
    </row>
    <row r="1390" spans="3:28" ht="13" x14ac:dyDescent="0.15">
      <c r="C1390" s="7"/>
      <c r="D1390" s="7"/>
      <c r="E1390" s="7"/>
      <c r="F1390" s="9"/>
      <c r="H1390" s="10"/>
      <c r="I1390" s="10"/>
      <c r="J1390" s="10"/>
      <c r="K1390" s="10"/>
      <c r="L1390" s="10"/>
      <c r="M1390" s="10"/>
      <c r="N1390" s="10"/>
      <c r="O1390" s="7"/>
      <c r="P1390" s="7"/>
      <c r="Q1390" s="7"/>
      <c r="AB1390" s="7"/>
    </row>
    <row r="1391" spans="3:28" ht="13" x14ac:dyDescent="0.15">
      <c r="C1391" s="7"/>
      <c r="D1391" s="7"/>
      <c r="E1391" s="7"/>
      <c r="F1391" s="9"/>
      <c r="H1391" s="10"/>
      <c r="I1391" s="10"/>
      <c r="J1391" s="10"/>
      <c r="K1391" s="10"/>
      <c r="L1391" s="10"/>
      <c r="M1391" s="10"/>
      <c r="N1391" s="10"/>
      <c r="O1391" s="7"/>
      <c r="P1391" s="7"/>
      <c r="Q1391" s="7"/>
      <c r="AB1391" s="7"/>
    </row>
    <row r="1392" spans="3:28" ht="13" x14ac:dyDescent="0.15">
      <c r="C1392" s="7"/>
      <c r="D1392" s="7"/>
      <c r="E1392" s="7"/>
      <c r="F1392" s="9"/>
      <c r="H1392" s="10"/>
      <c r="I1392" s="10"/>
      <c r="J1392" s="10"/>
      <c r="K1392" s="10"/>
      <c r="L1392" s="10"/>
      <c r="M1392" s="10"/>
      <c r="N1392" s="10"/>
      <c r="O1392" s="7"/>
      <c r="P1392" s="7"/>
      <c r="Q1392" s="7"/>
      <c r="AB1392" s="7"/>
    </row>
    <row r="1393" spans="3:28" ht="13" x14ac:dyDescent="0.15">
      <c r="C1393" s="7"/>
      <c r="D1393" s="7"/>
      <c r="E1393" s="7"/>
      <c r="F1393" s="9"/>
      <c r="H1393" s="10"/>
      <c r="I1393" s="10"/>
      <c r="J1393" s="10"/>
      <c r="K1393" s="10"/>
      <c r="L1393" s="10"/>
      <c r="M1393" s="10"/>
      <c r="N1393" s="10"/>
      <c r="O1393" s="7"/>
      <c r="P1393" s="7"/>
      <c r="Q1393" s="7"/>
      <c r="AB1393" s="7"/>
    </row>
    <row r="1394" spans="3:28" ht="13" x14ac:dyDescent="0.15">
      <c r="C1394" s="7"/>
      <c r="D1394" s="7"/>
      <c r="E1394" s="7"/>
      <c r="F1394" s="9"/>
      <c r="H1394" s="10"/>
      <c r="I1394" s="10"/>
      <c r="J1394" s="10"/>
      <c r="K1394" s="10"/>
      <c r="L1394" s="10"/>
      <c r="M1394" s="10"/>
      <c r="N1394" s="10"/>
      <c r="O1394" s="7"/>
      <c r="P1394" s="7"/>
      <c r="Q1394" s="7"/>
      <c r="AB1394" s="7"/>
    </row>
    <row r="1395" spans="3:28" ht="13" x14ac:dyDescent="0.15">
      <c r="C1395" s="7"/>
      <c r="D1395" s="7"/>
      <c r="E1395" s="7"/>
      <c r="F1395" s="9"/>
      <c r="H1395" s="10"/>
      <c r="I1395" s="10"/>
      <c r="J1395" s="10"/>
      <c r="K1395" s="10"/>
      <c r="L1395" s="10"/>
      <c r="M1395" s="10"/>
      <c r="N1395" s="10"/>
      <c r="O1395" s="7"/>
      <c r="P1395" s="7"/>
      <c r="Q1395" s="7"/>
      <c r="AB1395" s="7"/>
    </row>
    <row r="1396" spans="3:28" ht="13" x14ac:dyDescent="0.15">
      <c r="C1396" s="7"/>
      <c r="D1396" s="7"/>
      <c r="E1396" s="7"/>
      <c r="F1396" s="9"/>
      <c r="H1396" s="10"/>
      <c r="I1396" s="10"/>
      <c r="J1396" s="10"/>
      <c r="K1396" s="10"/>
      <c r="L1396" s="10"/>
      <c r="M1396" s="10"/>
      <c r="N1396" s="10"/>
      <c r="O1396" s="7"/>
      <c r="P1396" s="7"/>
      <c r="Q1396" s="7"/>
      <c r="AB1396" s="7"/>
    </row>
    <row r="1397" spans="3:28" ht="13" x14ac:dyDescent="0.15">
      <c r="C1397" s="7"/>
      <c r="D1397" s="7"/>
      <c r="E1397" s="7"/>
      <c r="F1397" s="9"/>
      <c r="H1397" s="10"/>
      <c r="I1397" s="10"/>
      <c r="J1397" s="10"/>
      <c r="K1397" s="10"/>
      <c r="L1397" s="10"/>
      <c r="M1397" s="10"/>
      <c r="N1397" s="10"/>
      <c r="O1397" s="7"/>
      <c r="P1397" s="7"/>
      <c r="Q1397" s="7"/>
      <c r="AB1397" s="7"/>
    </row>
    <row r="1398" spans="3:28" ht="13" x14ac:dyDescent="0.15">
      <c r="C1398" s="7"/>
      <c r="D1398" s="7"/>
      <c r="E1398" s="7"/>
      <c r="F1398" s="9"/>
      <c r="H1398" s="10"/>
      <c r="I1398" s="10"/>
      <c r="J1398" s="10"/>
      <c r="K1398" s="10"/>
      <c r="L1398" s="10"/>
      <c r="M1398" s="10"/>
      <c r="N1398" s="10"/>
      <c r="O1398" s="7"/>
      <c r="P1398" s="7"/>
      <c r="Q1398" s="7"/>
      <c r="AB1398" s="7"/>
    </row>
    <row r="1399" spans="3:28" ht="13" x14ac:dyDescent="0.15">
      <c r="C1399" s="7"/>
      <c r="D1399" s="7"/>
      <c r="E1399" s="7"/>
      <c r="F1399" s="9"/>
      <c r="H1399" s="10"/>
      <c r="I1399" s="10"/>
      <c r="J1399" s="10"/>
      <c r="K1399" s="10"/>
      <c r="L1399" s="10"/>
      <c r="M1399" s="10"/>
      <c r="N1399" s="10"/>
      <c r="O1399" s="7"/>
      <c r="P1399" s="7"/>
      <c r="Q1399" s="7"/>
      <c r="AB1399" s="7"/>
    </row>
    <row r="1400" spans="3:28" ht="13" x14ac:dyDescent="0.15">
      <c r="C1400" s="7"/>
      <c r="D1400" s="7"/>
      <c r="E1400" s="7"/>
      <c r="F1400" s="9"/>
      <c r="H1400" s="10"/>
      <c r="I1400" s="10"/>
      <c r="J1400" s="10"/>
      <c r="K1400" s="10"/>
      <c r="L1400" s="10"/>
      <c r="M1400" s="10"/>
      <c r="N1400" s="10"/>
      <c r="O1400" s="7"/>
      <c r="P1400" s="7"/>
      <c r="Q1400" s="7"/>
      <c r="AB1400" s="7"/>
    </row>
    <row r="1401" spans="3:28" ht="13" x14ac:dyDescent="0.15">
      <c r="C1401" s="7"/>
      <c r="D1401" s="7"/>
      <c r="E1401" s="7"/>
      <c r="F1401" s="9"/>
      <c r="H1401" s="10"/>
      <c r="I1401" s="10"/>
      <c r="J1401" s="10"/>
      <c r="K1401" s="10"/>
      <c r="L1401" s="10"/>
      <c r="M1401" s="10"/>
      <c r="N1401" s="10"/>
      <c r="O1401" s="7"/>
      <c r="P1401" s="7"/>
      <c r="Q1401" s="7"/>
      <c r="AB1401" s="7"/>
    </row>
    <row r="1402" spans="3:28" ht="13" x14ac:dyDescent="0.15">
      <c r="C1402" s="7"/>
      <c r="D1402" s="7"/>
      <c r="E1402" s="7"/>
      <c r="F1402" s="9"/>
      <c r="H1402" s="10"/>
      <c r="I1402" s="10"/>
      <c r="J1402" s="10"/>
      <c r="K1402" s="10"/>
      <c r="L1402" s="10"/>
      <c r="M1402" s="10"/>
      <c r="N1402" s="10"/>
      <c r="O1402" s="7"/>
      <c r="P1402" s="7"/>
      <c r="Q1402" s="7"/>
      <c r="AB1402" s="7"/>
    </row>
    <row r="1403" spans="3:28" ht="13" x14ac:dyDescent="0.15">
      <c r="C1403" s="7"/>
      <c r="D1403" s="7"/>
      <c r="E1403" s="7"/>
      <c r="F1403" s="9"/>
      <c r="H1403" s="10"/>
      <c r="I1403" s="10"/>
      <c r="J1403" s="10"/>
      <c r="K1403" s="10"/>
      <c r="L1403" s="10"/>
      <c r="M1403" s="10"/>
      <c r="N1403" s="10"/>
      <c r="O1403" s="7"/>
      <c r="P1403" s="7"/>
      <c r="Q1403" s="7"/>
      <c r="AB1403" s="7"/>
    </row>
    <row r="1404" spans="3:28" ht="13" x14ac:dyDescent="0.15">
      <c r="C1404" s="7"/>
      <c r="D1404" s="7"/>
      <c r="E1404" s="7"/>
      <c r="F1404" s="9"/>
      <c r="H1404" s="10"/>
      <c r="I1404" s="10"/>
      <c r="J1404" s="10"/>
      <c r="K1404" s="10"/>
      <c r="L1404" s="10"/>
      <c r="M1404" s="10"/>
      <c r="N1404" s="10"/>
      <c r="O1404" s="7"/>
      <c r="P1404" s="7"/>
      <c r="Q1404" s="7"/>
      <c r="AB1404" s="7"/>
    </row>
    <row r="1405" spans="3:28" ht="13" x14ac:dyDescent="0.15">
      <c r="C1405" s="7"/>
      <c r="D1405" s="7"/>
      <c r="E1405" s="7"/>
      <c r="F1405" s="9"/>
      <c r="H1405" s="10"/>
      <c r="I1405" s="10"/>
      <c r="J1405" s="10"/>
      <c r="K1405" s="10"/>
      <c r="L1405" s="10"/>
      <c r="M1405" s="10"/>
      <c r="N1405" s="10"/>
      <c r="O1405" s="7"/>
      <c r="P1405" s="7"/>
      <c r="Q1405" s="7"/>
      <c r="AB1405" s="7"/>
    </row>
    <row r="1406" spans="3:28" ht="13" x14ac:dyDescent="0.15">
      <c r="C1406" s="7"/>
      <c r="D1406" s="7"/>
      <c r="E1406" s="7"/>
      <c r="F1406" s="9"/>
      <c r="H1406" s="10"/>
      <c r="I1406" s="10"/>
      <c r="J1406" s="10"/>
      <c r="K1406" s="10"/>
      <c r="L1406" s="10"/>
      <c r="M1406" s="10"/>
      <c r="N1406" s="10"/>
      <c r="O1406" s="7"/>
      <c r="P1406" s="7"/>
      <c r="Q1406" s="7"/>
      <c r="AB1406" s="7"/>
    </row>
    <row r="1407" spans="3:28" ht="13" x14ac:dyDescent="0.15">
      <c r="C1407" s="7"/>
      <c r="D1407" s="7"/>
      <c r="E1407" s="7"/>
      <c r="F1407" s="9"/>
      <c r="H1407" s="10"/>
      <c r="I1407" s="10"/>
      <c r="J1407" s="10"/>
      <c r="K1407" s="10"/>
      <c r="L1407" s="10"/>
      <c r="M1407" s="10"/>
      <c r="N1407" s="10"/>
      <c r="O1407" s="7"/>
      <c r="P1407" s="7"/>
      <c r="Q1407" s="7"/>
      <c r="AB1407" s="7"/>
    </row>
    <row r="1408" spans="3:28" ht="13" x14ac:dyDescent="0.15">
      <c r="C1408" s="7"/>
      <c r="D1408" s="7"/>
      <c r="E1408" s="7"/>
      <c r="F1408" s="9"/>
      <c r="H1408" s="10"/>
      <c r="I1408" s="10"/>
      <c r="J1408" s="10"/>
      <c r="K1408" s="10"/>
      <c r="L1408" s="10"/>
      <c r="M1408" s="10"/>
      <c r="N1408" s="10"/>
      <c r="O1408" s="7"/>
      <c r="P1408" s="7"/>
      <c r="Q1408" s="7"/>
      <c r="AB1408" s="7"/>
    </row>
    <row r="1409" spans="3:28" ht="13" x14ac:dyDescent="0.15">
      <c r="C1409" s="7"/>
      <c r="D1409" s="7"/>
      <c r="E1409" s="7"/>
      <c r="F1409" s="9"/>
      <c r="H1409" s="10"/>
      <c r="I1409" s="10"/>
      <c r="J1409" s="10"/>
      <c r="K1409" s="10"/>
      <c r="L1409" s="10"/>
      <c r="M1409" s="10"/>
      <c r="N1409" s="10"/>
      <c r="O1409" s="7"/>
      <c r="P1409" s="7"/>
      <c r="Q1409" s="7"/>
      <c r="AB1409" s="7"/>
    </row>
    <row r="1410" spans="3:28" ht="13" x14ac:dyDescent="0.15">
      <c r="C1410" s="7"/>
      <c r="D1410" s="7"/>
      <c r="E1410" s="7"/>
      <c r="F1410" s="9"/>
      <c r="H1410" s="10"/>
      <c r="I1410" s="10"/>
      <c r="J1410" s="10"/>
      <c r="K1410" s="10"/>
      <c r="L1410" s="10"/>
      <c r="M1410" s="10"/>
      <c r="N1410" s="10"/>
      <c r="O1410" s="7"/>
      <c r="P1410" s="7"/>
      <c r="Q1410" s="7"/>
      <c r="AB1410" s="7"/>
    </row>
    <row r="1411" spans="3:28" ht="13" x14ac:dyDescent="0.15">
      <c r="C1411" s="7"/>
      <c r="D1411" s="7"/>
      <c r="E1411" s="7"/>
      <c r="F1411" s="9"/>
      <c r="H1411" s="10"/>
      <c r="I1411" s="10"/>
      <c r="J1411" s="10"/>
      <c r="K1411" s="10"/>
      <c r="L1411" s="10"/>
      <c r="M1411" s="10"/>
      <c r="N1411" s="10"/>
      <c r="O1411" s="7"/>
      <c r="P1411" s="7"/>
      <c r="Q1411" s="7"/>
      <c r="AB1411" s="7"/>
    </row>
    <row r="1412" spans="3:28" ht="13" x14ac:dyDescent="0.15">
      <c r="C1412" s="7"/>
      <c r="D1412" s="7"/>
      <c r="E1412" s="7"/>
      <c r="F1412" s="9"/>
      <c r="H1412" s="10"/>
      <c r="I1412" s="10"/>
      <c r="J1412" s="10"/>
      <c r="K1412" s="10"/>
      <c r="L1412" s="10"/>
      <c r="M1412" s="10"/>
      <c r="N1412" s="10"/>
      <c r="O1412" s="7"/>
      <c r="P1412" s="7"/>
      <c r="Q1412" s="7"/>
      <c r="AB1412" s="7"/>
    </row>
    <row r="1413" spans="3:28" ht="13" x14ac:dyDescent="0.15">
      <c r="C1413" s="7"/>
      <c r="D1413" s="7"/>
      <c r="E1413" s="7"/>
      <c r="F1413" s="9"/>
      <c r="H1413" s="10"/>
      <c r="I1413" s="10"/>
      <c r="J1413" s="10"/>
      <c r="K1413" s="10"/>
      <c r="L1413" s="10"/>
      <c r="M1413" s="10"/>
      <c r="N1413" s="10"/>
      <c r="O1413" s="7"/>
      <c r="P1413" s="7"/>
      <c r="Q1413" s="7"/>
      <c r="AB1413" s="7"/>
    </row>
    <row r="1414" spans="3:28" ht="13" x14ac:dyDescent="0.15">
      <c r="C1414" s="7"/>
      <c r="D1414" s="7"/>
      <c r="E1414" s="7"/>
      <c r="F1414" s="9"/>
      <c r="H1414" s="10"/>
      <c r="I1414" s="10"/>
      <c r="J1414" s="10"/>
      <c r="K1414" s="10"/>
      <c r="L1414" s="10"/>
      <c r="M1414" s="10"/>
      <c r="N1414" s="10"/>
      <c r="O1414" s="7"/>
      <c r="P1414" s="7"/>
      <c r="Q1414" s="7"/>
      <c r="AB1414" s="7"/>
    </row>
    <row r="1415" spans="3:28" ht="13" x14ac:dyDescent="0.15">
      <c r="C1415" s="7"/>
      <c r="D1415" s="7"/>
      <c r="E1415" s="7"/>
      <c r="F1415" s="9"/>
      <c r="H1415" s="10"/>
      <c r="I1415" s="10"/>
      <c r="J1415" s="10"/>
      <c r="K1415" s="10"/>
      <c r="L1415" s="10"/>
      <c r="M1415" s="10"/>
      <c r="N1415" s="10"/>
      <c r="O1415" s="7"/>
      <c r="P1415" s="7"/>
      <c r="Q1415" s="7"/>
      <c r="AB1415" s="7"/>
    </row>
    <row r="1416" spans="3:28" ht="13" x14ac:dyDescent="0.15">
      <c r="C1416" s="7"/>
      <c r="D1416" s="7"/>
      <c r="E1416" s="7"/>
      <c r="F1416" s="9"/>
      <c r="H1416" s="10"/>
      <c r="I1416" s="10"/>
      <c r="J1416" s="10"/>
      <c r="K1416" s="10"/>
      <c r="L1416" s="10"/>
      <c r="M1416" s="10"/>
      <c r="N1416" s="10"/>
      <c r="O1416" s="7"/>
      <c r="P1416" s="7"/>
      <c r="Q1416" s="7"/>
      <c r="AB1416" s="7"/>
    </row>
    <row r="1417" spans="3:28" ht="13" x14ac:dyDescent="0.15">
      <c r="C1417" s="7"/>
      <c r="D1417" s="7"/>
      <c r="E1417" s="7"/>
      <c r="F1417" s="9"/>
      <c r="H1417" s="10"/>
      <c r="I1417" s="10"/>
      <c r="J1417" s="10"/>
      <c r="K1417" s="10"/>
      <c r="L1417" s="10"/>
      <c r="M1417" s="10"/>
      <c r="N1417" s="10"/>
      <c r="O1417" s="7"/>
      <c r="P1417" s="7"/>
      <c r="Q1417" s="7"/>
      <c r="AB1417" s="7"/>
    </row>
    <row r="1418" spans="3:28" ht="13" x14ac:dyDescent="0.15">
      <c r="C1418" s="7"/>
      <c r="D1418" s="7"/>
      <c r="E1418" s="7"/>
      <c r="F1418" s="9"/>
      <c r="H1418" s="10"/>
      <c r="I1418" s="10"/>
      <c r="J1418" s="10"/>
      <c r="K1418" s="10"/>
      <c r="L1418" s="10"/>
      <c r="M1418" s="10"/>
      <c r="N1418" s="10"/>
      <c r="O1418" s="7"/>
      <c r="P1418" s="7"/>
      <c r="Q1418" s="7"/>
      <c r="AB1418" s="7"/>
    </row>
    <row r="1419" spans="3:28" ht="13" x14ac:dyDescent="0.15">
      <c r="C1419" s="7"/>
      <c r="D1419" s="7"/>
      <c r="E1419" s="7"/>
      <c r="F1419" s="9"/>
      <c r="H1419" s="10"/>
      <c r="I1419" s="10"/>
      <c r="J1419" s="10"/>
      <c r="K1419" s="10"/>
      <c r="L1419" s="10"/>
      <c r="M1419" s="10"/>
      <c r="N1419" s="10"/>
      <c r="O1419" s="7"/>
      <c r="P1419" s="7"/>
      <c r="Q1419" s="7"/>
      <c r="AB1419" s="7"/>
    </row>
    <row r="1420" spans="3:28" ht="13" x14ac:dyDescent="0.15">
      <c r="C1420" s="7"/>
      <c r="D1420" s="7"/>
      <c r="E1420" s="7"/>
      <c r="F1420" s="9"/>
      <c r="H1420" s="10"/>
      <c r="I1420" s="10"/>
      <c r="J1420" s="10"/>
      <c r="K1420" s="10"/>
      <c r="L1420" s="10"/>
      <c r="M1420" s="10"/>
      <c r="N1420" s="10"/>
      <c r="O1420" s="7"/>
      <c r="P1420" s="7"/>
      <c r="Q1420" s="7"/>
      <c r="AB1420" s="7"/>
    </row>
    <row r="1421" spans="3:28" ht="13" x14ac:dyDescent="0.15">
      <c r="C1421" s="7"/>
      <c r="D1421" s="7"/>
      <c r="E1421" s="7"/>
      <c r="F1421" s="9"/>
      <c r="H1421" s="10"/>
      <c r="I1421" s="10"/>
      <c r="J1421" s="10"/>
      <c r="K1421" s="10"/>
      <c r="L1421" s="10"/>
      <c r="M1421" s="10"/>
      <c r="N1421" s="10"/>
      <c r="O1421" s="7"/>
      <c r="P1421" s="7"/>
      <c r="Q1421" s="7"/>
      <c r="AB1421" s="7"/>
    </row>
    <row r="1422" spans="3:28" ht="13" x14ac:dyDescent="0.15">
      <c r="C1422" s="7"/>
      <c r="D1422" s="7"/>
      <c r="E1422" s="7"/>
      <c r="F1422" s="9"/>
      <c r="H1422" s="10"/>
      <c r="I1422" s="10"/>
      <c r="J1422" s="10"/>
      <c r="K1422" s="10"/>
      <c r="L1422" s="10"/>
      <c r="M1422" s="10"/>
      <c r="N1422" s="10"/>
      <c r="O1422" s="7"/>
      <c r="P1422" s="7"/>
      <c r="Q1422" s="7"/>
      <c r="AB1422" s="7"/>
    </row>
    <row r="1423" spans="3:28" ht="13" x14ac:dyDescent="0.15">
      <c r="C1423" s="7"/>
      <c r="D1423" s="7"/>
      <c r="E1423" s="7"/>
      <c r="F1423" s="9"/>
      <c r="H1423" s="10"/>
      <c r="I1423" s="10"/>
      <c r="J1423" s="10"/>
      <c r="K1423" s="10"/>
      <c r="L1423" s="10"/>
      <c r="M1423" s="10"/>
      <c r="N1423" s="10"/>
      <c r="O1423" s="7"/>
      <c r="P1423" s="7"/>
      <c r="Q1423" s="7"/>
      <c r="AB1423" s="7"/>
    </row>
    <row r="1424" spans="3:28" ht="13" x14ac:dyDescent="0.15">
      <c r="C1424" s="7"/>
      <c r="D1424" s="7"/>
      <c r="E1424" s="7"/>
      <c r="F1424" s="9"/>
      <c r="H1424" s="10"/>
      <c r="I1424" s="10"/>
      <c r="J1424" s="10"/>
      <c r="K1424" s="10"/>
      <c r="L1424" s="10"/>
      <c r="M1424" s="10"/>
      <c r="N1424" s="10"/>
      <c r="O1424" s="7"/>
      <c r="P1424" s="7"/>
      <c r="Q1424" s="7"/>
      <c r="AB1424" s="7"/>
    </row>
    <row r="1425" spans="3:28" ht="13" x14ac:dyDescent="0.15">
      <c r="C1425" s="7"/>
      <c r="D1425" s="7"/>
      <c r="E1425" s="7"/>
      <c r="F1425" s="9"/>
      <c r="H1425" s="10"/>
      <c r="I1425" s="10"/>
      <c r="J1425" s="10"/>
      <c r="K1425" s="10"/>
      <c r="L1425" s="10"/>
      <c r="M1425" s="10"/>
      <c r="N1425" s="10"/>
      <c r="O1425" s="7"/>
      <c r="P1425" s="7"/>
      <c r="Q1425" s="7"/>
      <c r="AB1425" s="7"/>
    </row>
    <row r="1426" spans="3:28" ht="13" x14ac:dyDescent="0.15">
      <c r="C1426" s="7"/>
      <c r="D1426" s="7"/>
      <c r="E1426" s="7"/>
      <c r="F1426" s="9"/>
      <c r="H1426" s="10"/>
      <c r="I1426" s="10"/>
      <c r="J1426" s="10"/>
      <c r="K1426" s="10"/>
      <c r="L1426" s="10"/>
      <c r="M1426" s="10"/>
      <c r="N1426" s="10"/>
      <c r="O1426" s="7"/>
      <c r="P1426" s="7"/>
      <c r="Q1426" s="7"/>
      <c r="AB1426" s="7"/>
    </row>
    <row r="1427" spans="3:28" ht="13" x14ac:dyDescent="0.15">
      <c r="C1427" s="7"/>
      <c r="D1427" s="7"/>
      <c r="E1427" s="7"/>
      <c r="F1427" s="9"/>
      <c r="H1427" s="10"/>
      <c r="I1427" s="10"/>
      <c r="J1427" s="10"/>
      <c r="K1427" s="10"/>
      <c r="L1427" s="10"/>
      <c r="M1427" s="10"/>
      <c r="N1427" s="10"/>
      <c r="O1427" s="7"/>
      <c r="P1427" s="7"/>
      <c r="Q1427" s="7"/>
      <c r="AB1427" s="7"/>
    </row>
    <row r="1428" spans="3:28" ht="13" x14ac:dyDescent="0.15">
      <c r="C1428" s="7"/>
      <c r="D1428" s="7"/>
      <c r="E1428" s="7"/>
      <c r="F1428" s="9"/>
      <c r="H1428" s="10"/>
      <c r="I1428" s="10"/>
      <c r="J1428" s="10"/>
      <c r="K1428" s="10"/>
      <c r="L1428" s="10"/>
      <c r="M1428" s="10"/>
      <c r="N1428" s="10"/>
      <c r="O1428" s="7"/>
      <c r="P1428" s="7"/>
      <c r="Q1428" s="7"/>
      <c r="AB1428" s="7"/>
    </row>
    <row r="1429" spans="3:28" ht="13" x14ac:dyDescent="0.15">
      <c r="C1429" s="7"/>
      <c r="D1429" s="7"/>
      <c r="E1429" s="7"/>
      <c r="F1429" s="9"/>
      <c r="H1429" s="10"/>
      <c r="I1429" s="10"/>
      <c r="J1429" s="10"/>
      <c r="K1429" s="10"/>
      <c r="L1429" s="10"/>
      <c r="M1429" s="10"/>
      <c r="N1429" s="10"/>
      <c r="O1429" s="7"/>
      <c r="P1429" s="7"/>
      <c r="Q1429" s="7"/>
      <c r="AB1429" s="7"/>
    </row>
    <row r="1430" spans="3:28" ht="13" x14ac:dyDescent="0.15">
      <c r="C1430" s="7"/>
      <c r="D1430" s="7"/>
      <c r="E1430" s="7"/>
      <c r="F1430" s="9"/>
      <c r="H1430" s="10"/>
      <c r="I1430" s="10"/>
      <c r="J1430" s="10"/>
      <c r="K1430" s="10"/>
      <c r="L1430" s="10"/>
      <c r="M1430" s="10"/>
      <c r="N1430" s="10"/>
      <c r="O1430" s="7"/>
      <c r="P1430" s="7"/>
      <c r="Q1430" s="7"/>
      <c r="AB1430" s="7"/>
    </row>
    <row r="1431" spans="3:28" ht="13" x14ac:dyDescent="0.15">
      <c r="C1431" s="7"/>
      <c r="D1431" s="7"/>
      <c r="E1431" s="7"/>
      <c r="F1431" s="9"/>
      <c r="H1431" s="10"/>
      <c r="I1431" s="10"/>
      <c r="J1431" s="10"/>
      <c r="K1431" s="10"/>
      <c r="L1431" s="10"/>
      <c r="M1431" s="10"/>
      <c r="N1431" s="10"/>
      <c r="O1431" s="7"/>
      <c r="P1431" s="7"/>
      <c r="Q1431" s="7"/>
      <c r="AB1431" s="7"/>
    </row>
    <row r="1432" spans="3:28" ht="13" x14ac:dyDescent="0.15">
      <c r="C1432" s="7"/>
      <c r="D1432" s="7"/>
      <c r="E1432" s="7"/>
      <c r="F1432" s="9"/>
      <c r="H1432" s="10"/>
      <c r="I1432" s="10"/>
      <c r="J1432" s="10"/>
      <c r="K1432" s="10"/>
      <c r="L1432" s="10"/>
      <c r="M1432" s="10"/>
      <c r="N1432" s="10"/>
      <c r="O1432" s="7"/>
      <c r="P1432" s="7"/>
      <c r="Q1432" s="7"/>
      <c r="AB1432" s="7"/>
    </row>
    <row r="1433" spans="3:28" ht="13" x14ac:dyDescent="0.15">
      <c r="C1433" s="7"/>
      <c r="D1433" s="7"/>
      <c r="E1433" s="7"/>
      <c r="F1433" s="9"/>
      <c r="H1433" s="10"/>
      <c r="I1433" s="10"/>
      <c r="J1433" s="10"/>
      <c r="K1433" s="10"/>
      <c r="L1433" s="10"/>
      <c r="M1433" s="10"/>
      <c r="N1433" s="10"/>
      <c r="O1433" s="7"/>
      <c r="P1433" s="7"/>
      <c r="Q1433" s="7"/>
      <c r="AB1433" s="7"/>
    </row>
    <row r="1434" spans="3:28" ht="13" x14ac:dyDescent="0.15">
      <c r="C1434" s="7"/>
      <c r="D1434" s="7"/>
      <c r="E1434" s="7"/>
      <c r="F1434" s="9"/>
      <c r="H1434" s="10"/>
      <c r="I1434" s="10"/>
      <c r="J1434" s="10"/>
      <c r="K1434" s="10"/>
      <c r="L1434" s="10"/>
      <c r="M1434" s="10"/>
      <c r="N1434" s="10"/>
      <c r="O1434" s="7"/>
      <c r="P1434" s="7"/>
      <c r="Q1434" s="7"/>
      <c r="AB1434" s="7"/>
    </row>
    <row r="1435" spans="3:28" ht="13" x14ac:dyDescent="0.15">
      <c r="C1435" s="7"/>
      <c r="D1435" s="7"/>
      <c r="E1435" s="7"/>
      <c r="F1435" s="9"/>
      <c r="H1435" s="10"/>
      <c r="I1435" s="10"/>
      <c r="J1435" s="10"/>
      <c r="K1435" s="10"/>
      <c r="L1435" s="10"/>
      <c r="M1435" s="10"/>
      <c r="N1435" s="10"/>
      <c r="O1435" s="7"/>
      <c r="P1435" s="7"/>
      <c r="Q1435" s="7"/>
      <c r="AB1435" s="7"/>
    </row>
    <row r="1436" spans="3:28" ht="13" x14ac:dyDescent="0.15">
      <c r="C1436" s="7"/>
      <c r="D1436" s="7"/>
      <c r="E1436" s="7"/>
      <c r="F1436" s="9"/>
      <c r="H1436" s="10"/>
      <c r="I1436" s="10"/>
      <c r="J1436" s="10"/>
      <c r="K1436" s="10"/>
      <c r="L1436" s="10"/>
      <c r="M1436" s="10"/>
      <c r="N1436" s="10"/>
      <c r="O1436" s="7"/>
      <c r="P1436" s="7"/>
      <c r="Q1436" s="7"/>
      <c r="AB1436" s="7"/>
    </row>
    <row r="1437" spans="3:28" ht="13" x14ac:dyDescent="0.15">
      <c r="C1437" s="7"/>
      <c r="D1437" s="7"/>
      <c r="E1437" s="7"/>
      <c r="F1437" s="9"/>
      <c r="H1437" s="10"/>
      <c r="I1437" s="10"/>
      <c r="J1437" s="10"/>
      <c r="K1437" s="10"/>
      <c r="L1437" s="10"/>
      <c r="M1437" s="10"/>
      <c r="N1437" s="10"/>
      <c r="O1437" s="7"/>
      <c r="P1437" s="7"/>
      <c r="Q1437" s="7"/>
      <c r="AB1437" s="7"/>
    </row>
    <row r="1438" spans="3:28" ht="13" x14ac:dyDescent="0.15">
      <c r="C1438" s="7"/>
      <c r="D1438" s="7"/>
      <c r="E1438" s="7"/>
      <c r="F1438" s="9"/>
      <c r="H1438" s="10"/>
      <c r="I1438" s="10"/>
      <c r="J1438" s="10"/>
      <c r="K1438" s="10"/>
      <c r="L1438" s="10"/>
      <c r="M1438" s="10"/>
      <c r="N1438" s="10"/>
      <c r="O1438" s="7"/>
      <c r="P1438" s="7"/>
      <c r="Q1438" s="7"/>
      <c r="AB1438" s="7"/>
    </row>
    <row r="1439" spans="3:28" ht="13" x14ac:dyDescent="0.15">
      <c r="C1439" s="7"/>
      <c r="D1439" s="7"/>
      <c r="E1439" s="7"/>
      <c r="F1439" s="9"/>
      <c r="H1439" s="10"/>
      <c r="I1439" s="10"/>
      <c r="J1439" s="10"/>
      <c r="K1439" s="10"/>
      <c r="L1439" s="10"/>
      <c r="M1439" s="10"/>
      <c r="N1439" s="10"/>
      <c r="O1439" s="7"/>
      <c r="P1439" s="7"/>
      <c r="Q1439" s="7"/>
      <c r="AB1439" s="7"/>
    </row>
    <row r="1440" spans="3:28" ht="13" x14ac:dyDescent="0.15">
      <c r="C1440" s="7"/>
      <c r="D1440" s="7"/>
      <c r="E1440" s="7"/>
      <c r="F1440" s="9"/>
      <c r="H1440" s="10"/>
      <c r="I1440" s="10"/>
      <c r="J1440" s="10"/>
      <c r="K1440" s="10"/>
      <c r="L1440" s="10"/>
      <c r="M1440" s="10"/>
      <c r="N1440" s="10"/>
      <c r="O1440" s="7"/>
      <c r="P1440" s="7"/>
      <c r="Q1440" s="7"/>
      <c r="AB1440" s="7"/>
    </row>
    <row r="1441" spans="3:28" ht="13" x14ac:dyDescent="0.15">
      <c r="C1441" s="7"/>
      <c r="D1441" s="7"/>
      <c r="E1441" s="7"/>
      <c r="F1441" s="9"/>
      <c r="H1441" s="10"/>
      <c r="I1441" s="10"/>
      <c r="J1441" s="10"/>
      <c r="K1441" s="10"/>
      <c r="L1441" s="10"/>
      <c r="M1441" s="10"/>
      <c r="N1441" s="10"/>
      <c r="O1441" s="7"/>
      <c r="P1441" s="7"/>
      <c r="Q1441" s="7"/>
      <c r="AB1441" s="7"/>
    </row>
    <row r="1442" spans="3:28" ht="13" x14ac:dyDescent="0.15">
      <c r="C1442" s="7"/>
      <c r="D1442" s="7"/>
      <c r="E1442" s="7"/>
      <c r="F1442" s="9"/>
      <c r="H1442" s="10"/>
      <c r="I1442" s="10"/>
      <c r="J1442" s="10"/>
      <c r="K1442" s="10"/>
      <c r="L1442" s="10"/>
      <c r="M1442" s="10"/>
      <c r="N1442" s="10"/>
      <c r="O1442" s="7"/>
      <c r="P1442" s="7"/>
      <c r="Q1442" s="7"/>
      <c r="AB1442" s="7"/>
    </row>
    <row r="1443" spans="3:28" ht="13" x14ac:dyDescent="0.15">
      <c r="C1443" s="7"/>
      <c r="D1443" s="7"/>
      <c r="E1443" s="7"/>
      <c r="F1443" s="9"/>
      <c r="H1443" s="10"/>
      <c r="I1443" s="10"/>
      <c r="J1443" s="10"/>
      <c r="K1443" s="10"/>
      <c r="L1443" s="10"/>
      <c r="M1443" s="10"/>
      <c r="N1443" s="10"/>
      <c r="O1443" s="7"/>
      <c r="P1443" s="7"/>
      <c r="Q1443" s="7"/>
      <c r="AB1443" s="7"/>
    </row>
    <row r="1444" spans="3:28" ht="13" x14ac:dyDescent="0.15">
      <c r="C1444" s="7"/>
      <c r="D1444" s="7"/>
      <c r="E1444" s="7"/>
      <c r="F1444" s="9"/>
      <c r="H1444" s="10"/>
      <c r="I1444" s="10"/>
      <c r="J1444" s="10"/>
      <c r="K1444" s="10"/>
      <c r="L1444" s="10"/>
      <c r="M1444" s="10"/>
      <c r="N1444" s="10"/>
      <c r="O1444" s="7"/>
      <c r="P1444" s="7"/>
      <c r="Q1444" s="7"/>
      <c r="AB1444" s="7"/>
    </row>
    <row r="1445" spans="3:28" ht="13" x14ac:dyDescent="0.15">
      <c r="C1445" s="7"/>
      <c r="D1445" s="7"/>
      <c r="E1445" s="7"/>
      <c r="F1445" s="9"/>
      <c r="H1445" s="10"/>
      <c r="I1445" s="10"/>
      <c r="J1445" s="10"/>
      <c r="K1445" s="10"/>
      <c r="L1445" s="10"/>
      <c r="M1445" s="10"/>
      <c r="N1445" s="10"/>
      <c r="O1445" s="7"/>
      <c r="P1445" s="7"/>
      <c r="Q1445" s="7"/>
      <c r="AB1445" s="7"/>
    </row>
    <row r="1446" spans="3:28" ht="13" x14ac:dyDescent="0.15">
      <c r="C1446" s="7"/>
      <c r="D1446" s="7"/>
      <c r="E1446" s="7"/>
      <c r="F1446" s="9"/>
      <c r="H1446" s="10"/>
      <c r="I1446" s="10"/>
      <c r="J1446" s="10"/>
      <c r="K1446" s="10"/>
      <c r="L1446" s="10"/>
      <c r="M1446" s="10"/>
      <c r="N1446" s="10"/>
      <c r="O1446" s="7"/>
      <c r="P1446" s="7"/>
      <c r="Q1446" s="7"/>
      <c r="AB1446" s="7"/>
    </row>
    <row r="1447" spans="3:28" ht="13" x14ac:dyDescent="0.15">
      <c r="C1447" s="7"/>
      <c r="D1447" s="7"/>
      <c r="E1447" s="7"/>
      <c r="F1447" s="9"/>
      <c r="H1447" s="10"/>
      <c r="I1447" s="10"/>
      <c r="J1447" s="10"/>
      <c r="K1447" s="10"/>
      <c r="L1447" s="10"/>
      <c r="M1447" s="10"/>
      <c r="N1447" s="10"/>
      <c r="O1447" s="7"/>
      <c r="P1447" s="7"/>
      <c r="Q1447" s="7"/>
      <c r="AB1447" s="7"/>
    </row>
    <row r="1448" spans="3:28" ht="13" x14ac:dyDescent="0.15">
      <c r="C1448" s="7"/>
      <c r="D1448" s="7"/>
      <c r="E1448" s="7"/>
      <c r="F1448" s="9"/>
      <c r="H1448" s="10"/>
      <c r="I1448" s="10"/>
      <c r="J1448" s="10"/>
      <c r="K1448" s="10"/>
      <c r="L1448" s="10"/>
      <c r="M1448" s="10"/>
      <c r="N1448" s="10"/>
      <c r="O1448" s="7"/>
      <c r="P1448" s="7"/>
      <c r="Q1448" s="7"/>
      <c r="AB1448" s="7"/>
    </row>
    <row r="1449" spans="3:28" ht="13" x14ac:dyDescent="0.15">
      <c r="C1449" s="7"/>
      <c r="D1449" s="7"/>
      <c r="E1449" s="7"/>
      <c r="F1449" s="9"/>
      <c r="H1449" s="10"/>
      <c r="I1449" s="10"/>
      <c r="J1449" s="10"/>
      <c r="K1449" s="10"/>
      <c r="L1449" s="10"/>
      <c r="M1449" s="10"/>
      <c r="N1449" s="10"/>
      <c r="O1449" s="7"/>
      <c r="P1449" s="7"/>
      <c r="Q1449" s="7"/>
      <c r="AB1449" s="7"/>
    </row>
    <row r="1450" spans="3:28" ht="13" x14ac:dyDescent="0.15">
      <c r="C1450" s="7"/>
      <c r="D1450" s="7"/>
      <c r="E1450" s="7"/>
      <c r="F1450" s="9"/>
      <c r="H1450" s="10"/>
      <c r="I1450" s="10"/>
      <c r="J1450" s="10"/>
      <c r="K1450" s="10"/>
      <c r="L1450" s="10"/>
      <c r="M1450" s="10"/>
      <c r="N1450" s="10"/>
      <c r="O1450" s="7"/>
      <c r="P1450" s="7"/>
      <c r="Q1450" s="7"/>
      <c r="AB1450" s="7"/>
    </row>
    <row r="1451" spans="3:28" ht="13" x14ac:dyDescent="0.15">
      <c r="C1451" s="7"/>
      <c r="D1451" s="7"/>
      <c r="E1451" s="7"/>
      <c r="F1451" s="9"/>
      <c r="H1451" s="10"/>
      <c r="I1451" s="10"/>
      <c r="J1451" s="10"/>
      <c r="K1451" s="10"/>
      <c r="L1451" s="10"/>
      <c r="M1451" s="10"/>
      <c r="N1451" s="10"/>
      <c r="O1451" s="7"/>
      <c r="P1451" s="7"/>
      <c r="Q1451" s="7"/>
      <c r="AB1451" s="7"/>
    </row>
    <row r="1452" spans="3:28" ht="13" x14ac:dyDescent="0.15">
      <c r="C1452" s="7"/>
      <c r="D1452" s="7"/>
      <c r="E1452" s="7"/>
      <c r="F1452" s="9"/>
      <c r="H1452" s="10"/>
      <c r="I1452" s="10"/>
      <c r="J1452" s="10"/>
      <c r="K1452" s="10"/>
      <c r="L1452" s="10"/>
      <c r="M1452" s="10"/>
      <c r="N1452" s="10"/>
      <c r="O1452" s="7"/>
      <c r="P1452" s="7"/>
      <c r="Q1452" s="7"/>
      <c r="AB1452" s="7"/>
    </row>
    <row r="1453" spans="3:28" ht="13" x14ac:dyDescent="0.15">
      <c r="C1453" s="7"/>
      <c r="D1453" s="7"/>
      <c r="E1453" s="7"/>
      <c r="F1453" s="9"/>
      <c r="H1453" s="10"/>
      <c r="I1453" s="10"/>
      <c r="J1453" s="10"/>
      <c r="K1453" s="10"/>
      <c r="L1453" s="10"/>
      <c r="M1453" s="10"/>
      <c r="N1453" s="10"/>
      <c r="O1453" s="7"/>
      <c r="P1453" s="7"/>
      <c r="Q1453" s="7"/>
      <c r="AB1453" s="7"/>
    </row>
    <row r="1454" spans="3:28" ht="13" x14ac:dyDescent="0.15">
      <c r="C1454" s="7"/>
      <c r="D1454" s="7"/>
      <c r="E1454" s="7"/>
      <c r="F1454" s="9"/>
      <c r="H1454" s="10"/>
      <c r="I1454" s="10"/>
      <c r="J1454" s="10"/>
      <c r="K1454" s="10"/>
      <c r="L1454" s="10"/>
      <c r="M1454" s="10"/>
      <c r="N1454" s="10"/>
      <c r="O1454" s="7"/>
      <c r="P1454" s="7"/>
      <c r="Q1454" s="7"/>
      <c r="AB1454" s="7"/>
    </row>
    <row r="1455" spans="3:28" ht="13" x14ac:dyDescent="0.15">
      <c r="C1455" s="7"/>
      <c r="D1455" s="7"/>
      <c r="E1455" s="7"/>
      <c r="F1455" s="9"/>
      <c r="H1455" s="10"/>
      <c r="I1455" s="10"/>
      <c r="J1455" s="10"/>
      <c r="K1455" s="10"/>
      <c r="L1455" s="10"/>
      <c r="M1455" s="10"/>
      <c r="N1455" s="10"/>
      <c r="O1455" s="7"/>
      <c r="P1455" s="7"/>
      <c r="Q1455" s="7"/>
      <c r="AB1455" s="7"/>
    </row>
    <row r="1456" spans="3:28" ht="13" x14ac:dyDescent="0.15">
      <c r="C1456" s="7"/>
      <c r="D1456" s="7"/>
      <c r="E1456" s="7"/>
      <c r="F1456" s="9"/>
      <c r="H1456" s="10"/>
      <c r="I1456" s="10"/>
      <c r="J1456" s="10"/>
      <c r="K1456" s="10"/>
      <c r="L1456" s="10"/>
      <c r="M1456" s="10"/>
      <c r="N1456" s="10"/>
      <c r="O1456" s="7"/>
      <c r="P1456" s="7"/>
      <c r="Q1456" s="7"/>
      <c r="AB1456" s="7"/>
    </row>
    <row r="1457" spans="3:28" ht="13" x14ac:dyDescent="0.15">
      <c r="C1457" s="7"/>
      <c r="D1457" s="7"/>
      <c r="E1457" s="7"/>
      <c r="F1457" s="9"/>
      <c r="H1457" s="10"/>
      <c r="I1457" s="10"/>
      <c r="J1457" s="10"/>
      <c r="K1457" s="10"/>
      <c r="L1457" s="10"/>
      <c r="M1457" s="10"/>
      <c r="N1457" s="10"/>
      <c r="O1457" s="7"/>
      <c r="P1457" s="7"/>
      <c r="Q1457" s="7"/>
      <c r="AB1457" s="7"/>
    </row>
    <row r="1458" spans="3:28" ht="13" x14ac:dyDescent="0.15">
      <c r="C1458" s="7"/>
      <c r="D1458" s="7"/>
      <c r="E1458" s="7"/>
      <c r="F1458" s="9"/>
      <c r="H1458" s="10"/>
      <c r="I1458" s="10"/>
      <c r="J1458" s="10"/>
      <c r="K1458" s="10"/>
      <c r="L1458" s="10"/>
      <c r="M1458" s="10"/>
      <c r="N1458" s="10"/>
      <c r="O1458" s="7"/>
      <c r="P1458" s="7"/>
      <c r="Q1458" s="7"/>
      <c r="AB1458" s="7"/>
    </row>
    <row r="1459" spans="3:28" ht="13" x14ac:dyDescent="0.15">
      <c r="C1459" s="7"/>
      <c r="D1459" s="7"/>
      <c r="E1459" s="7"/>
      <c r="F1459" s="9"/>
      <c r="H1459" s="10"/>
      <c r="I1459" s="10"/>
      <c r="J1459" s="10"/>
      <c r="K1459" s="10"/>
      <c r="L1459" s="10"/>
      <c r="M1459" s="10"/>
      <c r="N1459" s="10"/>
      <c r="O1459" s="7"/>
      <c r="P1459" s="7"/>
      <c r="Q1459" s="7"/>
      <c r="AB1459" s="7"/>
    </row>
    <row r="1460" spans="3:28" ht="13" x14ac:dyDescent="0.15">
      <c r="C1460" s="7"/>
      <c r="D1460" s="7"/>
      <c r="E1460" s="7"/>
      <c r="F1460" s="9"/>
      <c r="H1460" s="10"/>
      <c r="I1460" s="10"/>
      <c r="J1460" s="10"/>
      <c r="K1460" s="10"/>
      <c r="L1460" s="10"/>
      <c r="M1460" s="10"/>
      <c r="N1460" s="10"/>
      <c r="O1460" s="7"/>
      <c r="P1460" s="7"/>
      <c r="Q1460" s="7"/>
      <c r="AB1460" s="7"/>
    </row>
    <row r="1461" spans="3:28" ht="13" x14ac:dyDescent="0.15">
      <c r="C1461" s="7"/>
      <c r="D1461" s="7"/>
      <c r="E1461" s="7"/>
      <c r="F1461" s="9"/>
      <c r="H1461" s="10"/>
      <c r="I1461" s="10"/>
      <c r="J1461" s="10"/>
      <c r="K1461" s="10"/>
      <c r="L1461" s="10"/>
      <c r="M1461" s="10"/>
      <c r="N1461" s="10"/>
      <c r="O1461" s="7"/>
      <c r="P1461" s="7"/>
      <c r="Q1461" s="7"/>
      <c r="AB1461" s="7"/>
    </row>
    <row r="1462" spans="3:28" ht="13" x14ac:dyDescent="0.15">
      <c r="C1462" s="7"/>
      <c r="D1462" s="7"/>
      <c r="E1462" s="7"/>
      <c r="F1462" s="9"/>
      <c r="H1462" s="10"/>
      <c r="I1462" s="10"/>
      <c r="J1462" s="10"/>
      <c r="K1462" s="10"/>
      <c r="L1462" s="10"/>
      <c r="M1462" s="10"/>
      <c r="N1462" s="10"/>
      <c r="O1462" s="7"/>
      <c r="P1462" s="7"/>
      <c r="Q1462" s="7"/>
      <c r="AB1462" s="7"/>
    </row>
    <row r="1463" spans="3:28" ht="13" x14ac:dyDescent="0.15">
      <c r="C1463" s="7"/>
      <c r="D1463" s="7"/>
      <c r="E1463" s="7"/>
      <c r="F1463" s="9"/>
      <c r="H1463" s="10"/>
      <c r="I1463" s="10"/>
      <c r="J1463" s="10"/>
      <c r="K1463" s="10"/>
      <c r="L1463" s="10"/>
      <c r="M1463" s="10"/>
      <c r="N1463" s="10"/>
      <c r="O1463" s="7"/>
      <c r="P1463" s="7"/>
      <c r="Q1463" s="7"/>
      <c r="AB1463" s="7"/>
    </row>
    <row r="1464" spans="3:28" ht="13" x14ac:dyDescent="0.15">
      <c r="C1464" s="7"/>
      <c r="D1464" s="7"/>
      <c r="E1464" s="7"/>
      <c r="F1464" s="9"/>
      <c r="H1464" s="10"/>
      <c r="I1464" s="10"/>
      <c r="J1464" s="10"/>
      <c r="K1464" s="10"/>
      <c r="L1464" s="10"/>
      <c r="M1464" s="10"/>
      <c r="N1464" s="10"/>
      <c r="O1464" s="7"/>
      <c r="P1464" s="7"/>
      <c r="Q1464" s="7"/>
      <c r="AB1464" s="7"/>
    </row>
    <row r="1465" spans="3:28" ht="13" x14ac:dyDescent="0.15">
      <c r="C1465" s="7"/>
      <c r="D1465" s="7"/>
      <c r="E1465" s="7"/>
      <c r="F1465" s="9"/>
      <c r="H1465" s="10"/>
      <c r="I1465" s="10"/>
      <c r="J1465" s="10"/>
      <c r="K1465" s="10"/>
      <c r="L1465" s="10"/>
      <c r="M1465" s="10"/>
      <c r="N1465" s="10"/>
      <c r="O1465" s="7"/>
      <c r="P1465" s="7"/>
      <c r="Q1465" s="7"/>
      <c r="AB1465" s="7"/>
    </row>
    <row r="1466" spans="3:28" ht="13" x14ac:dyDescent="0.15">
      <c r="C1466" s="7"/>
      <c r="D1466" s="7"/>
      <c r="E1466" s="7"/>
      <c r="F1466" s="9"/>
      <c r="H1466" s="10"/>
      <c r="I1466" s="10"/>
      <c r="J1466" s="10"/>
      <c r="K1466" s="10"/>
      <c r="L1466" s="10"/>
      <c r="M1466" s="10"/>
      <c r="N1466" s="10"/>
      <c r="O1466" s="7"/>
      <c r="P1466" s="7"/>
      <c r="Q1466" s="7"/>
      <c r="AB1466" s="7"/>
    </row>
    <row r="1467" spans="3:28" ht="13" x14ac:dyDescent="0.15">
      <c r="C1467" s="7"/>
      <c r="D1467" s="7"/>
      <c r="E1467" s="7"/>
      <c r="F1467" s="9"/>
      <c r="H1467" s="10"/>
      <c r="I1467" s="10"/>
      <c r="J1467" s="10"/>
      <c r="K1467" s="10"/>
      <c r="L1467" s="10"/>
      <c r="M1467" s="10"/>
      <c r="N1467" s="10"/>
      <c r="O1467" s="7"/>
      <c r="P1467" s="7"/>
      <c r="Q1467" s="7"/>
      <c r="AB1467" s="7"/>
    </row>
    <row r="1468" spans="3:28" ht="13" x14ac:dyDescent="0.15">
      <c r="C1468" s="7"/>
      <c r="D1468" s="7"/>
      <c r="E1468" s="7"/>
      <c r="F1468" s="9"/>
      <c r="H1468" s="10"/>
      <c r="I1468" s="10"/>
      <c r="J1468" s="10"/>
      <c r="K1468" s="10"/>
      <c r="L1468" s="10"/>
      <c r="M1468" s="10"/>
      <c r="N1468" s="10"/>
      <c r="O1468" s="7"/>
      <c r="P1468" s="7"/>
      <c r="Q1468" s="7"/>
      <c r="AB1468" s="7"/>
    </row>
    <row r="1469" spans="3:28" ht="13" x14ac:dyDescent="0.15">
      <c r="C1469" s="7"/>
      <c r="D1469" s="7"/>
      <c r="E1469" s="7"/>
      <c r="F1469" s="9"/>
      <c r="H1469" s="10"/>
      <c r="I1469" s="10"/>
      <c r="J1469" s="10"/>
      <c r="K1469" s="10"/>
      <c r="L1469" s="10"/>
      <c r="M1469" s="10"/>
      <c r="N1469" s="10"/>
      <c r="O1469" s="7"/>
      <c r="P1469" s="7"/>
      <c r="Q1469" s="7"/>
      <c r="AB1469" s="7"/>
    </row>
    <row r="1470" spans="3:28" ht="13" x14ac:dyDescent="0.15">
      <c r="C1470" s="7"/>
      <c r="D1470" s="7"/>
      <c r="E1470" s="7"/>
      <c r="F1470" s="9"/>
      <c r="H1470" s="10"/>
      <c r="I1470" s="10"/>
      <c r="J1470" s="10"/>
      <c r="K1470" s="10"/>
      <c r="L1470" s="10"/>
      <c r="M1470" s="10"/>
      <c r="N1470" s="10"/>
      <c r="O1470" s="7"/>
      <c r="P1470" s="7"/>
      <c r="Q1470" s="7"/>
      <c r="AB1470" s="7"/>
    </row>
    <row r="1471" spans="3:28" ht="13" x14ac:dyDescent="0.15">
      <c r="C1471" s="7"/>
      <c r="D1471" s="7"/>
      <c r="E1471" s="7"/>
      <c r="F1471" s="9"/>
      <c r="H1471" s="10"/>
      <c r="I1471" s="10"/>
      <c r="J1471" s="10"/>
      <c r="K1471" s="10"/>
      <c r="L1471" s="10"/>
      <c r="M1471" s="10"/>
      <c r="N1471" s="10"/>
      <c r="O1471" s="7"/>
      <c r="P1471" s="7"/>
      <c r="Q1471" s="7"/>
      <c r="AB1471" s="7"/>
    </row>
    <row r="1472" spans="3:28" ht="13" x14ac:dyDescent="0.15">
      <c r="C1472" s="7"/>
      <c r="D1472" s="7"/>
      <c r="E1472" s="7"/>
      <c r="F1472" s="9"/>
      <c r="H1472" s="10"/>
      <c r="I1472" s="10"/>
      <c r="J1472" s="10"/>
      <c r="K1472" s="10"/>
      <c r="L1472" s="10"/>
      <c r="M1472" s="10"/>
      <c r="N1472" s="10"/>
      <c r="O1472" s="7"/>
      <c r="P1472" s="7"/>
      <c r="Q1472" s="7"/>
      <c r="AB1472" s="7"/>
    </row>
    <row r="1473" spans="3:28" ht="13" x14ac:dyDescent="0.15">
      <c r="C1473" s="7"/>
      <c r="D1473" s="7"/>
      <c r="E1473" s="7"/>
      <c r="F1473" s="9"/>
      <c r="H1473" s="10"/>
      <c r="I1473" s="10"/>
      <c r="J1473" s="10"/>
      <c r="K1473" s="10"/>
      <c r="L1473" s="10"/>
      <c r="M1473" s="10"/>
      <c r="N1473" s="10"/>
      <c r="O1473" s="7"/>
      <c r="P1473" s="7"/>
      <c r="Q1473" s="7"/>
      <c r="AB1473" s="7"/>
    </row>
    <row r="1474" spans="3:28" ht="13" x14ac:dyDescent="0.15">
      <c r="C1474" s="7"/>
      <c r="D1474" s="7"/>
      <c r="E1474" s="7"/>
      <c r="F1474" s="9"/>
      <c r="H1474" s="10"/>
      <c r="I1474" s="10"/>
      <c r="J1474" s="10"/>
      <c r="K1474" s="10"/>
      <c r="L1474" s="10"/>
      <c r="M1474" s="10"/>
      <c r="N1474" s="10"/>
      <c r="O1474" s="7"/>
      <c r="P1474" s="7"/>
      <c r="Q1474" s="7"/>
      <c r="AB1474" s="7"/>
    </row>
    <row r="1475" spans="3:28" ht="13" x14ac:dyDescent="0.15">
      <c r="C1475" s="7"/>
      <c r="D1475" s="7"/>
      <c r="E1475" s="7"/>
      <c r="F1475" s="9"/>
      <c r="H1475" s="10"/>
      <c r="I1475" s="10"/>
      <c r="J1475" s="10"/>
      <c r="K1475" s="10"/>
      <c r="L1475" s="10"/>
      <c r="M1475" s="10"/>
      <c r="N1475" s="10"/>
      <c r="O1475" s="7"/>
      <c r="P1475" s="7"/>
      <c r="Q1475" s="7"/>
      <c r="AB1475" s="7"/>
    </row>
    <row r="1476" spans="3:28" ht="13" x14ac:dyDescent="0.15">
      <c r="C1476" s="7"/>
      <c r="D1476" s="7"/>
      <c r="E1476" s="7"/>
      <c r="F1476" s="9"/>
      <c r="H1476" s="10"/>
      <c r="I1476" s="10"/>
      <c r="J1476" s="10"/>
      <c r="K1476" s="10"/>
      <c r="L1476" s="10"/>
      <c r="M1476" s="10"/>
      <c r="N1476" s="10"/>
      <c r="O1476" s="7"/>
      <c r="P1476" s="7"/>
      <c r="Q1476" s="7"/>
      <c r="AB1476" s="7"/>
    </row>
    <row r="1477" spans="3:28" ht="13" x14ac:dyDescent="0.15">
      <c r="C1477" s="7"/>
      <c r="D1477" s="7"/>
      <c r="E1477" s="7"/>
      <c r="F1477" s="9"/>
      <c r="H1477" s="10"/>
      <c r="I1477" s="10"/>
      <c r="J1477" s="10"/>
      <c r="K1477" s="10"/>
      <c r="L1477" s="10"/>
      <c r="M1477" s="10"/>
      <c r="N1477" s="10"/>
      <c r="O1477" s="7"/>
      <c r="P1477" s="7"/>
      <c r="Q1477" s="7"/>
      <c r="AB1477" s="7"/>
    </row>
    <row r="1478" spans="3:28" ht="13" x14ac:dyDescent="0.15">
      <c r="C1478" s="7"/>
      <c r="D1478" s="7"/>
      <c r="E1478" s="7"/>
      <c r="F1478" s="9"/>
      <c r="H1478" s="10"/>
      <c r="I1478" s="10"/>
      <c r="J1478" s="10"/>
      <c r="K1478" s="10"/>
      <c r="L1478" s="10"/>
      <c r="M1478" s="10"/>
      <c r="N1478" s="10"/>
      <c r="O1478" s="7"/>
      <c r="P1478" s="7"/>
      <c r="Q1478" s="7"/>
      <c r="AB1478" s="7"/>
    </row>
    <row r="1479" spans="3:28" ht="13" x14ac:dyDescent="0.15">
      <c r="C1479" s="7"/>
      <c r="D1479" s="7"/>
      <c r="E1479" s="7"/>
      <c r="F1479" s="9"/>
      <c r="H1479" s="10"/>
      <c r="I1479" s="10"/>
      <c r="J1479" s="10"/>
      <c r="K1479" s="10"/>
      <c r="L1479" s="10"/>
      <c r="M1479" s="10"/>
      <c r="N1479" s="10"/>
      <c r="O1479" s="7"/>
      <c r="P1479" s="7"/>
      <c r="Q1479" s="7"/>
      <c r="AB1479" s="7"/>
    </row>
    <row r="1480" spans="3:28" ht="13" x14ac:dyDescent="0.15">
      <c r="C1480" s="7"/>
      <c r="D1480" s="7"/>
      <c r="E1480" s="7"/>
      <c r="F1480" s="9"/>
      <c r="H1480" s="10"/>
      <c r="I1480" s="10"/>
      <c r="J1480" s="10"/>
      <c r="K1480" s="10"/>
      <c r="L1480" s="10"/>
      <c r="M1480" s="10"/>
      <c r="N1480" s="10"/>
      <c r="O1480" s="7"/>
      <c r="P1480" s="7"/>
      <c r="Q1480" s="7"/>
      <c r="AB1480" s="7"/>
    </row>
    <row r="1481" spans="3:28" ht="13" x14ac:dyDescent="0.15">
      <c r="C1481" s="7"/>
      <c r="D1481" s="7"/>
      <c r="E1481" s="7"/>
      <c r="F1481" s="9"/>
      <c r="H1481" s="10"/>
      <c r="I1481" s="10"/>
      <c r="J1481" s="10"/>
      <c r="K1481" s="10"/>
      <c r="L1481" s="10"/>
      <c r="M1481" s="10"/>
      <c r="N1481" s="10"/>
      <c r="O1481" s="7"/>
      <c r="P1481" s="7"/>
      <c r="Q1481" s="7"/>
      <c r="AB1481" s="7"/>
    </row>
    <row r="1482" spans="3:28" ht="13" x14ac:dyDescent="0.15">
      <c r="C1482" s="7"/>
      <c r="D1482" s="7"/>
      <c r="E1482" s="7"/>
      <c r="F1482" s="9"/>
      <c r="H1482" s="10"/>
      <c r="I1482" s="10"/>
      <c r="J1482" s="10"/>
      <c r="K1482" s="10"/>
      <c r="L1482" s="10"/>
      <c r="M1482" s="10"/>
      <c r="N1482" s="10"/>
      <c r="O1482" s="7"/>
      <c r="P1482" s="7"/>
      <c r="Q1482" s="7"/>
      <c r="AB1482" s="7"/>
    </row>
    <row r="1483" spans="3:28" ht="13" x14ac:dyDescent="0.15">
      <c r="C1483" s="7"/>
      <c r="D1483" s="7"/>
      <c r="E1483" s="7"/>
      <c r="F1483" s="9"/>
      <c r="H1483" s="10"/>
      <c r="I1483" s="10"/>
      <c r="J1483" s="10"/>
      <c r="K1483" s="10"/>
      <c r="L1483" s="10"/>
      <c r="M1483" s="10"/>
      <c r="N1483" s="10"/>
      <c r="O1483" s="7"/>
      <c r="P1483" s="7"/>
      <c r="Q1483" s="7"/>
      <c r="AB1483" s="7"/>
    </row>
    <row r="1484" spans="3:28" ht="13" x14ac:dyDescent="0.15">
      <c r="C1484" s="7"/>
      <c r="D1484" s="7"/>
      <c r="E1484" s="7"/>
      <c r="F1484" s="9"/>
      <c r="H1484" s="10"/>
      <c r="I1484" s="10"/>
      <c r="J1484" s="10"/>
      <c r="K1484" s="10"/>
      <c r="L1484" s="10"/>
      <c r="M1484" s="10"/>
      <c r="N1484" s="10"/>
      <c r="O1484" s="7"/>
      <c r="P1484" s="7"/>
      <c r="Q1484" s="7"/>
      <c r="AB1484" s="7"/>
    </row>
    <row r="1485" spans="3:28" ht="13" x14ac:dyDescent="0.15">
      <c r="C1485" s="7"/>
      <c r="D1485" s="7"/>
      <c r="E1485" s="7"/>
      <c r="F1485" s="9"/>
      <c r="H1485" s="10"/>
      <c r="I1485" s="10"/>
      <c r="J1485" s="10"/>
      <c r="K1485" s="10"/>
      <c r="L1485" s="10"/>
      <c r="M1485" s="10"/>
      <c r="N1485" s="10"/>
      <c r="O1485" s="7"/>
      <c r="P1485" s="7"/>
      <c r="Q1485" s="7"/>
      <c r="AB1485" s="7"/>
    </row>
    <row r="1486" spans="3:28" ht="13" x14ac:dyDescent="0.15">
      <c r="C1486" s="7"/>
      <c r="D1486" s="7"/>
      <c r="E1486" s="7"/>
      <c r="F1486" s="9"/>
      <c r="H1486" s="10"/>
      <c r="I1486" s="10"/>
      <c r="J1486" s="10"/>
      <c r="K1486" s="10"/>
      <c r="L1486" s="10"/>
      <c r="M1486" s="10"/>
      <c r="N1486" s="10"/>
      <c r="O1486" s="7"/>
      <c r="P1486" s="7"/>
      <c r="Q1486" s="7"/>
      <c r="AB1486" s="7"/>
    </row>
    <row r="1487" spans="3:28" ht="13" x14ac:dyDescent="0.15">
      <c r="C1487" s="7"/>
      <c r="D1487" s="7"/>
      <c r="E1487" s="7"/>
      <c r="F1487" s="9"/>
      <c r="H1487" s="10"/>
      <c r="I1487" s="10"/>
      <c r="J1487" s="10"/>
      <c r="K1487" s="10"/>
      <c r="L1487" s="10"/>
      <c r="M1487" s="10"/>
      <c r="N1487" s="10"/>
      <c r="O1487" s="7"/>
      <c r="P1487" s="7"/>
      <c r="Q1487" s="7"/>
      <c r="AB1487" s="7"/>
    </row>
    <row r="1488" spans="3:28" ht="13" x14ac:dyDescent="0.15">
      <c r="C1488" s="7"/>
      <c r="D1488" s="7"/>
      <c r="E1488" s="7"/>
      <c r="F1488" s="9"/>
      <c r="H1488" s="10"/>
      <c r="I1488" s="10"/>
      <c r="J1488" s="10"/>
      <c r="K1488" s="10"/>
      <c r="L1488" s="10"/>
      <c r="M1488" s="10"/>
      <c r="N1488" s="10"/>
      <c r="O1488" s="7"/>
      <c r="P1488" s="7"/>
      <c r="Q1488" s="7"/>
      <c r="AB1488" s="7"/>
    </row>
    <row r="1489" spans="3:28" ht="13" x14ac:dyDescent="0.15">
      <c r="C1489" s="7"/>
      <c r="D1489" s="7"/>
      <c r="E1489" s="7"/>
      <c r="F1489" s="9"/>
      <c r="H1489" s="10"/>
      <c r="I1489" s="10"/>
      <c r="J1489" s="10"/>
      <c r="K1489" s="10"/>
      <c r="L1489" s="10"/>
      <c r="M1489" s="10"/>
      <c r="N1489" s="10"/>
      <c r="O1489" s="7"/>
      <c r="P1489" s="7"/>
      <c r="Q1489" s="7"/>
      <c r="AB1489" s="7"/>
    </row>
    <row r="1490" spans="3:28" ht="13" x14ac:dyDescent="0.15">
      <c r="C1490" s="7"/>
      <c r="D1490" s="7"/>
      <c r="E1490" s="7"/>
      <c r="F1490" s="9"/>
      <c r="H1490" s="10"/>
      <c r="I1490" s="10"/>
      <c r="J1490" s="10"/>
      <c r="K1490" s="10"/>
      <c r="L1490" s="10"/>
      <c r="M1490" s="10"/>
      <c r="N1490" s="10"/>
      <c r="O1490" s="7"/>
      <c r="P1490" s="7"/>
      <c r="Q1490" s="7"/>
      <c r="AB1490" s="7"/>
    </row>
    <row r="1491" spans="3:28" ht="13" x14ac:dyDescent="0.15">
      <c r="C1491" s="7"/>
      <c r="D1491" s="7"/>
      <c r="E1491" s="7"/>
      <c r="F1491" s="9"/>
      <c r="H1491" s="10"/>
      <c r="I1491" s="10"/>
      <c r="J1491" s="10"/>
      <c r="K1491" s="10"/>
      <c r="L1491" s="10"/>
      <c r="M1491" s="10"/>
      <c r="N1491" s="10"/>
      <c r="O1491" s="7"/>
      <c r="P1491" s="7"/>
      <c r="Q1491" s="7"/>
      <c r="AB1491" s="7"/>
    </row>
    <row r="1492" spans="3:28" ht="13" x14ac:dyDescent="0.15">
      <c r="C1492" s="7"/>
      <c r="D1492" s="7"/>
      <c r="E1492" s="7"/>
      <c r="F1492" s="9"/>
      <c r="H1492" s="10"/>
      <c r="I1492" s="10"/>
      <c r="J1492" s="10"/>
      <c r="K1492" s="10"/>
      <c r="L1492" s="10"/>
      <c r="M1492" s="10"/>
      <c r="N1492" s="10"/>
      <c r="O1492" s="7"/>
      <c r="P1492" s="7"/>
      <c r="Q1492" s="7"/>
      <c r="AB1492" s="7"/>
    </row>
    <row r="1493" spans="3:28" ht="13" x14ac:dyDescent="0.15">
      <c r="C1493" s="7"/>
      <c r="D1493" s="7"/>
      <c r="E1493" s="7"/>
      <c r="F1493" s="9"/>
      <c r="H1493" s="10"/>
      <c r="I1493" s="10"/>
      <c r="J1493" s="10"/>
      <c r="K1493" s="10"/>
      <c r="L1493" s="10"/>
      <c r="M1493" s="10"/>
      <c r="N1493" s="10"/>
      <c r="O1493" s="7"/>
      <c r="P1493" s="7"/>
      <c r="Q1493" s="7"/>
      <c r="AB1493" s="7"/>
    </row>
    <row r="1494" spans="3:28" ht="13" x14ac:dyDescent="0.15">
      <c r="C1494" s="7"/>
      <c r="D1494" s="7"/>
      <c r="E1494" s="7"/>
      <c r="F1494" s="9"/>
      <c r="H1494" s="10"/>
      <c r="I1494" s="10"/>
      <c r="J1494" s="10"/>
      <c r="K1494" s="10"/>
      <c r="L1494" s="10"/>
      <c r="M1494" s="10"/>
      <c r="N1494" s="10"/>
      <c r="O1494" s="7"/>
      <c r="P1494" s="7"/>
      <c r="Q1494" s="7"/>
      <c r="AB1494" s="7"/>
    </row>
    <row r="1495" spans="3:28" ht="13" x14ac:dyDescent="0.15">
      <c r="C1495" s="7"/>
      <c r="D1495" s="7"/>
      <c r="E1495" s="7"/>
      <c r="F1495" s="9"/>
      <c r="H1495" s="10"/>
      <c r="I1495" s="10"/>
      <c r="J1495" s="10"/>
      <c r="K1495" s="10"/>
      <c r="L1495" s="10"/>
      <c r="M1495" s="10"/>
      <c r="N1495" s="10"/>
      <c r="O1495" s="7"/>
      <c r="P1495" s="7"/>
      <c r="Q1495" s="7"/>
      <c r="AB1495" s="7"/>
    </row>
    <row r="1496" spans="3:28" ht="13" x14ac:dyDescent="0.15">
      <c r="C1496" s="7"/>
      <c r="D1496" s="7"/>
      <c r="E1496" s="7"/>
      <c r="F1496" s="9"/>
      <c r="H1496" s="10"/>
      <c r="I1496" s="10"/>
      <c r="J1496" s="10"/>
      <c r="K1496" s="10"/>
      <c r="L1496" s="10"/>
      <c r="M1496" s="10"/>
      <c r="N1496" s="10"/>
      <c r="O1496" s="7"/>
      <c r="P1496" s="7"/>
      <c r="Q1496" s="7"/>
      <c r="AB1496" s="7"/>
    </row>
    <row r="1497" spans="3:28" ht="13" x14ac:dyDescent="0.15">
      <c r="C1497" s="7"/>
      <c r="D1497" s="7"/>
      <c r="E1497" s="7"/>
      <c r="F1497" s="9"/>
      <c r="H1497" s="10"/>
      <c r="I1497" s="10"/>
      <c r="J1497" s="10"/>
      <c r="K1497" s="10"/>
      <c r="L1497" s="10"/>
      <c r="M1497" s="10"/>
      <c r="N1497" s="10"/>
      <c r="O1497" s="7"/>
      <c r="P1497" s="7"/>
      <c r="Q1497" s="7"/>
      <c r="AB1497" s="7"/>
    </row>
    <row r="1498" spans="3:28" ht="13" x14ac:dyDescent="0.15">
      <c r="C1498" s="7"/>
      <c r="D1498" s="7"/>
      <c r="E1498" s="7"/>
      <c r="F1498" s="9"/>
      <c r="H1498" s="10"/>
      <c r="I1498" s="10"/>
      <c r="J1498" s="10"/>
      <c r="K1498" s="10"/>
      <c r="L1498" s="10"/>
      <c r="M1498" s="10"/>
      <c r="N1498" s="10"/>
      <c r="O1498" s="7"/>
      <c r="P1498" s="7"/>
      <c r="Q1498" s="7"/>
      <c r="AB1498" s="7"/>
    </row>
    <row r="1499" spans="3:28" ht="13" x14ac:dyDescent="0.15">
      <c r="C1499" s="7"/>
      <c r="D1499" s="7"/>
      <c r="E1499" s="7"/>
      <c r="F1499" s="9"/>
      <c r="H1499" s="10"/>
      <c r="I1499" s="10"/>
      <c r="J1499" s="10"/>
      <c r="K1499" s="10"/>
      <c r="L1499" s="10"/>
      <c r="M1499" s="10"/>
      <c r="N1499" s="10"/>
      <c r="O1499" s="7"/>
      <c r="P1499" s="7"/>
      <c r="Q1499" s="7"/>
      <c r="AB1499" s="7"/>
    </row>
    <row r="1500" spans="3:28" ht="13" x14ac:dyDescent="0.15">
      <c r="C1500" s="7"/>
      <c r="D1500" s="7"/>
      <c r="E1500" s="7"/>
      <c r="F1500" s="9"/>
      <c r="H1500" s="10"/>
      <c r="I1500" s="10"/>
      <c r="J1500" s="10"/>
      <c r="K1500" s="10"/>
      <c r="L1500" s="10"/>
      <c r="M1500" s="10"/>
      <c r="N1500" s="10"/>
      <c r="O1500" s="7"/>
      <c r="P1500" s="7"/>
      <c r="Q1500" s="7"/>
      <c r="AB1500" s="7"/>
    </row>
    <row r="1501" spans="3:28" ht="13" x14ac:dyDescent="0.15">
      <c r="C1501" s="7"/>
      <c r="D1501" s="7"/>
      <c r="E1501" s="7"/>
      <c r="F1501" s="9"/>
      <c r="H1501" s="10"/>
      <c r="I1501" s="10"/>
      <c r="J1501" s="10"/>
      <c r="K1501" s="10"/>
      <c r="L1501" s="10"/>
      <c r="M1501" s="10"/>
      <c r="N1501" s="10"/>
      <c r="O1501" s="7"/>
      <c r="P1501" s="7"/>
      <c r="Q1501" s="7"/>
      <c r="AB1501" s="7"/>
    </row>
    <row r="1502" spans="3:28" ht="13" x14ac:dyDescent="0.15">
      <c r="C1502" s="7"/>
      <c r="D1502" s="7"/>
      <c r="E1502" s="7"/>
      <c r="F1502" s="9"/>
      <c r="H1502" s="10"/>
      <c r="I1502" s="10"/>
      <c r="J1502" s="10"/>
      <c r="K1502" s="10"/>
      <c r="L1502" s="10"/>
      <c r="M1502" s="10"/>
      <c r="N1502" s="10"/>
      <c r="O1502" s="7"/>
      <c r="P1502" s="7"/>
      <c r="Q1502" s="7"/>
      <c r="AB1502" s="7"/>
    </row>
    <row r="1503" spans="3:28" ht="13" x14ac:dyDescent="0.15">
      <c r="C1503" s="7"/>
      <c r="D1503" s="7"/>
      <c r="E1503" s="7"/>
      <c r="F1503" s="9"/>
      <c r="H1503" s="10"/>
      <c r="I1503" s="10"/>
      <c r="J1503" s="10"/>
      <c r="K1503" s="10"/>
      <c r="L1503" s="10"/>
      <c r="M1503" s="10"/>
      <c r="N1503" s="10"/>
      <c r="O1503" s="7"/>
      <c r="P1503" s="7"/>
      <c r="Q1503" s="7"/>
      <c r="AB1503" s="7"/>
    </row>
    <row r="1504" spans="3:28" ht="13" x14ac:dyDescent="0.15">
      <c r="C1504" s="7"/>
      <c r="D1504" s="7"/>
      <c r="E1504" s="7"/>
      <c r="F1504" s="9"/>
      <c r="H1504" s="10"/>
      <c r="I1504" s="10"/>
      <c r="J1504" s="10"/>
      <c r="K1504" s="10"/>
      <c r="L1504" s="10"/>
      <c r="M1504" s="10"/>
      <c r="N1504" s="10"/>
      <c r="O1504" s="7"/>
      <c r="P1504" s="7"/>
      <c r="Q1504" s="7"/>
      <c r="AB1504" s="7"/>
    </row>
    <row r="1505" spans="3:28" ht="13" x14ac:dyDescent="0.15">
      <c r="C1505" s="7"/>
      <c r="D1505" s="7"/>
      <c r="E1505" s="7"/>
      <c r="F1505" s="9"/>
      <c r="H1505" s="10"/>
      <c r="I1505" s="10"/>
      <c r="J1505" s="10"/>
      <c r="K1505" s="10"/>
      <c r="L1505" s="10"/>
      <c r="M1505" s="10"/>
      <c r="N1505" s="10"/>
      <c r="O1505" s="7"/>
      <c r="P1505" s="7"/>
      <c r="Q1505" s="7"/>
      <c r="AB1505" s="7"/>
    </row>
    <row r="1506" spans="3:28" ht="13" x14ac:dyDescent="0.15">
      <c r="C1506" s="7"/>
      <c r="D1506" s="7"/>
      <c r="E1506" s="7"/>
      <c r="F1506" s="9"/>
      <c r="H1506" s="10"/>
      <c r="I1506" s="10"/>
      <c r="J1506" s="10"/>
      <c r="K1506" s="10"/>
      <c r="L1506" s="10"/>
      <c r="M1506" s="10"/>
      <c r="N1506" s="10"/>
      <c r="O1506" s="7"/>
      <c r="P1506" s="7"/>
      <c r="Q1506" s="7"/>
      <c r="AB1506" s="7"/>
    </row>
    <row r="1507" spans="3:28" ht="13" x14ac:dyDescent="0.15">
      <c r="C1507" s="7"/>
      <c r="D1507" s="7"/>
      <c r="E1507" s="7"/>
      <c r="F1507" s="9"/>
      <c r="H1507" s="10"/>
      <c r="I1507" s="10"/>
      <c r="J1507" s="10"/>
      <c r="K1507" s="10"/>
      <c r="L1507" s="10"/>
      <c r="M1507" s="10"/>
      <c r="N1507" s="10"/>
      <c r="O1507" s="7"/>
      <c r="P1507" s="7"/>
      <c r="Q1507" s="7"/>
      <c r="AB1507" s="7"/>
    </row>
    <row r="1508" spans="3:28" ht="13" x14ac:dyDescent="0.15">
      <c r="C1508" s="7"/>
      <c r="D1508" s="7"/>
      <c r="E1508" s="7"/>
      <c r="F1508" s="9"/>
      <c r="H1508" s="10"/>
      <c r="I1508" s="10"/>
      <c r="J1508" s="10"/>
      <c r="K1508" s="10"/>
      <c r="L1508" s="10"/>
      <c r="M1508" s="10"/>
      <c r="N1508" s="10"/>
      <c r="O1508" s="7"/>
      <c r="P1508" s="7"/>
      <c r="Q1508" s="7"/>
      <c r="AB1508" s="7"/>
    </row>
    <row r="1509" spans="3:28" ht="13" x14ac:dyDescent="0.15">
      <c r="C1509" s="7"/>
      <c r="D1509" s="7"/>
      <c r="E1509" s="7"/>
      <c r="F1509" s="9"/>
      <c r="H1509" s="10"/>
      <c r="I1509" s="10"/>
      <c r="J1509" s="10"/>
      <c r="K1509" s="10"/>
      <c r="L1509" s="10"/>
      <c r="M1509" s="10"/>
      <c r="N1509" s="10"/>
      <c r="O1509" s="7"/>
      <c r="P1509" s="7"/>
      <c r="Q1509" s="7"/>
      <c r="AB1509" s="7"/>
    </row>
    <row r="1510" spans="3:28" ht="13" x14ac:dyDescent="0.15">
      <c r="C1510" s="7"/>
      <c r="D1510" s="7"/>
      <c r="E1510" s="7"/>
      <c r="F1510" s="9"/>
      <c r="H1510" s="10"/>
      <c r="I1510" s="10"/>
      <c r="J1510" s="10"/>
      <c r="K1510" s="10"/>
      <c r="L1510" s="10"/>
      <c r="M1510" s="10"/>
      <c r="N1510" s="10"/>
      <c r="O1510" s="7"/>
      <c r="P1510" s="7"/>
      <c r="Q1510" s="7"/>
      <c r="AB1510" s="7"/>
    </row>
    <row r="1511" spans="3:28" ht="13" x14ac:dyDescent="0.15">
      <c r="C1511" s="7"/>
      <c r="D1511" s="7"/>
      <c r="E1511" s="7"/>
      <c r="F1511" s="9"/>
      <c r="H1511" s="10"/>
      <c r="I1511" s="10"/>
      <c r="J1511" s="10"/>
      <c r="K1511" s="10"/>
      <c r="L1511" s="10"/>
      <c r="M1511" s="10"/>
      <c r="N1511" s="10"/>
      <c r="O1511" s="7"/>
      <c r="P1511" s="7"/>
      <c r="Q1511" s="7"/>
      <c r="AB1511" s="7"/>
    </row>
    <row r="1512" spans="3:28" ht="13" x14ac:dyDescent="0.15">
      <c r="C1512" s="7"/>
      <c r="D1512" s="7"/>
      <c r="E1512" s="7"/>
      <c r="F1512" s="9"/>
      <c r="H1512" s="10"/>
      <c r="I1512" s="10"/>
      <c r="J1512" s="10"/>
      <c r="K1512" s="10"/>
      <c r="L1512" s="10"/>
      <c r="M1512" s="10"/>
      <c r="N1512" s="10"/>
      <c r="O1512" s="7"/>
      <c r="P1512" s="7"/>
      <c r="Q1512" s="7"/>
      <c r="AB1512" s="7"/>
    </row>
    <row r="1513" spans="3:28" ht="13" x14ac:dyDescent="0.15">
      <c r="C1513" s="7"/>
      <c r="D1513" s="7"/>
      <c r="E1513" s="7"/>
      <c r="F1513" s="9"/>
      <c r="H1513" s="10"/>
      <c r="I1513" s="10"/>
      <c r="J1513" s="10"/>
      <c r="K1513" s="10"/>
      <c r="L1513" s="10"/>
      <c r="M1513" s="10"/>
      <c r="N1513" s="10"/>
      <c r="O1513" s="7"/>
      <c r="P1513" s="7"/>
      <c r="Q1513" s="7"/>
      <c r="AB1513" s="7"/>
    </row>
    <row r="1514" spans="3:28" ht="13" x14ac:dyDescent="0.15">
      <c r="C1514" s="7"/>
      <c r="D1514" s="7"/>
      <c r="E1514" s="7"/>
      <c r="F1514" s="9"/>
      <c r="H1514" s="10"/>
      <c r="I1514" s="10"/>
      <c r="J1514" s="10"/>
      <c r="K1514" s="10"/>
      <c r="L1514" s="10"/>
      <c r="M1514" s="10"/>
      <c r="N1514" s="10"/>
      <c r="O1514" s="7"/>
      <c r="P1514" s="7"/>
      <c r="Q1514" s="7"/>
      <c r="AB1514" s="7"/>
    </row>
    <row r="1515" spans="3:28" ht="13" x14ac:dyDescent="0.15">
      <c r="C1515" s="7"/>
      <c r="D1515" s="7"/>
      <c r="E1515" s="7"/>
      <c r="F1515" s="9"/>
      <c r="H1515" s="10"/>
      <c r="I1515" s="10"/>
      <c r="J1515" s="10"/>
      <c r="K1515" s="10"/>
      <c r="L1515" s="10"/>
      <c r="M1515" s="10"/>
      <c r="N1515" s="10"/>
      <c r="O1515" s="7"/>
      <c r="P1515" s="7"/>
      <c r="Q1515" s="7"/>
      <c r="AB1515" s="7"/>
    </row>
    <row r="1516" spans="3:28" ht="13" x14ac:dyDescent="0.15">
      <c r="C1516" s="7"/>
      <c r="D1516" s="7"/>
      <c r="E1516" s="7"/>
      <c r="F1516" s="9"/>
      <c r="H1516" s="10"/>
      <c r="I1516" s="10"/>
      <c r="J1516" s="10"/>
      <c r="K1516" s="10"/>
      <c r="L1516" s="10"/>
      <c r="M1516" s="10"/>
      <c r="N1516" s="10"/>
      <c r="O1516" s="7"/>
      <c r="P1516" s="7"/>
      <c r="Q1516" s="7"/>
      <c r="AB1516" s="7"/>
    </row>
    <row r="1517" spans="3:28" ht="13" x14ac:dyDescent="0.15">
      <c r="C1517" s="7"/>
      <c r="D1517" s="7"/>
      <c r="E1517" s="7"/>
      <c r="F1517" s="9"/>
      <c r="H1517" s="10"/>
      <c r="I1517" s="10"/>
      <c r="J1517" s="10"/>
      <c r="K1517" s="10"/>
      <c r="L1517" s="10"/>
      <c r="M1517" s="10"/>
      <c r="N1517" s="10"/>
      <c r="O1517" s="7"/>
      <c r="P1517" s="7"/>
      <c r="Q1517" s="7"/>
      <c r="AB1517" s="7"/>
    </row>
    <row r="1518" spans="3:28" ht="13" x14ac:dyDescent="0.15">
      <c r="C1518" s="7"/>
      <c r="D1518" s="7"/>
      <c r="E1518" s="7"/>
      <c r="F1518" s="9"/>
      <c r="H1518" s="10"/>
      <c r="I1518" s="10"/>
      <c r="J1518" s="10"/>
      <c r="K1518" s="10"/>
      <c r="L1518" s="10"/>
      <c r="M1518" s="10"/>
      <c r="N1518" s="10"/>
      <c r="O1518" s="7"/>
      <c r="P1518" s="7"/>
      <c r="Q1518" s="7"/>
      <c r="AB1518" s="7"/>
    </row>
    <row r="1519" spans="3:28" ht="13" x14ac:dyDescent="0.15">
      <c r="C1519" s="7"/>
      <c r="D1519" s="7"/>
      <c r="E1519" s="7"/>
      <c r="F1519" s="9"/>
      <c r="H1519" s="10"/>
      <c r="I1519" s="10"/>
      <c r="J1519" s="10"/>
      <c r="K1519" s="10"/>
      <c r="L1519" s="10"/>
      <c r="M1519" s="10"/>
      <c r="N1519" s="10"/>
      <c r="O1519" s="7"/>
      <c r="P1519" s="7"/>
      <c r="Q1519" s="7"/>
      <c r="AB1519" s="7"/>
    </row>
    <row r="1520" spans="3:28" ht="13" x14ac:dyDescent="0.15">
      <c r="C1520" s="7"/>
      <c r="D1520" s="7"/>
      <c r="E1520" s="7"/>
      <c r="F1520" s="9"/>
      <c r="H1520" s="10"/>
      <c r="I1520" s="10"/>
      <c r="J1520" s="10"/>
      <c r="K1520" s="10"/>
      <c r="L1520" s="10"/>
      <c r="M1520" s="10"/>
      <c r="N1520" s="10"/>
      <c r="O1520" s="7"/>
      <c r="P1520" s="7"/>
      <c r="Q1520" s="7"/>
      <c r="AB1520" s="7"/>
    </row>
    <row r="1521" spans="3:28" ht="13" x14ac:dyDescent="0.15">
      <c r="C1521" s="7"/>
      <c r="D1521" s="7"/>
      <c r="E1521" s="7"/>
      <c r="F1521" s="9"/>
      <c r="H1521" s="10"/>
      <c r="I1521" s="10"/>
      <c r="J1521" s="10"/>
      <c r="K1521" s="10"/>
      <c r="L1521" s="10"/>
      <c r="M1521" s="10"/>
      <c r="N1521" s="10"/>
      <c r="O1521" s="7"/>
      <c r="P1521" s="7"/>
      <c r="Q1521" s="7"/>
      <c r="AB1521" s="7"/>
    </row>
    <row r="1522" spans="3:28" ht="13" x14ac:dyDescent="0.15">
      <c r="C1522" s="7"/>
      <c r="D1522" s="7"/>
      <c r="E1522" s="7"/>
      <c r="F1522" s="9"/>
      <c r="H1522" s="10"/>
      <c r="I1522" s="10"/>
      <c r="J1522" s="10"/>
      <c r="K1522" s="10"/>
      <c r="L1522" s="10"/>
      <c r="M1522" s="10"/>
      <c r="N1522" s="10"/>
      <c r="O1522" s="7"/>
      <c r="P1522" s="7"/>
      <c r="Q1522" s="7"/>
      <c r="AB1522" s="7"/>
    </row>
    <row r="1523" spans="3:28" ht="13" x14ac:dyDescent="0.15">
      <c r="C1523" s="7"/>
      <c r="D1523" s="7"/>
      <c r="E1523" s="7"/>
      <c r="F1523" s="9"/>
      <c r="H1523" s="10"/>
      <c r="I1523" s="10"/>
      <c r="J1523" s="10"/>
      <c r="K1523" s="10"/>
      <c r="L1523" s="10"/>
      <c r="M1523" s="10"/>
      <c r="N1523" s="10"/>
      <c r="O1523" s="7"/>
      <c r="P1523" s="7"/>
      <c r="Q1523" s="7"/>
      <c r="AB1523" s="7"/>
    </row>
    <row r="1524" spans="3:28" ht="13" x14ac:dyDescent="0.15">
      <c r="C1524" s="7"/>
      <c r="D1524" s="7"/>
      <c r="E1524" s="7"/>
      <c r="F1524" s="9"/>
      <c r="H1524" s="10"/>
      <c r="I1524" s="10"/>
      <c r="J1524" s="10"/>
      <c r="K1524" s="10"/>
      <c r="L1524" s="10"/>
      <c r="M1524" s="10"/>
      <c r="N1524" s="10"/>
      <c r="O1524" s="7"/>
      <c r="P1524" s="7"/>
      <c r="Q1524" s="7"/>
      <c r="AB1524" s="7"/>
    </row>
    <row r="1525" spans="3:28" ht="13" x14ac:dyDescent="0.15">
      <c r="C1525" s="7"/>
      <c r="D1525" s="7"/>
      <c r="E1525" s="7"/>
      <c r="F1525" s="9"/>
      <c r="H1525" s="10"/>
      <c r="I1525" s="10"/>
      <c r="J1525" s="10"/>
      <c r="K1525" s="10"/>
      <c r="L1525" s="10"/>
      <c r="M1525" s="10"/>
      <c r="N1525" s="10"/>
      <c r="O1525" s="7"/>
      <c r="P1525" s="7"/>
      <c r="Q1525" s="7"/>
      <c r="AB1525" s="7"/>
    </row>
    <row r="1526" spans="3:28" ht="13" x14ac:dyDescent="0.15">
      <c r="C1526" s="7"/>
      <c r="D1526" s="7"/>
      <c r="E1526" s="7"/>
      <c r="F1526" s="9"/>
      <c r="H1526" s="10"/>
      <c r="I1526" s="10"/>
      <c r="J1526" s="10"/>
      <c r="K1526" s="10"/>
      <c r="L1526" s="10"/>
      <c r="M1526" s="10"/>
      <c r="N1526" s="10"/>
      <c r="O1526" s="7"/>
      <c r="P1526" s="7"/>
      <c r="Q1526" s="7"/>
      <c r="AB1526" s="7"/>
    </row>
    <row r="1527" spans="3:28" ht="13" x14ac:dyDescent="0.15">
      <c r="C1527" s="7"/>
      <c r="D1527" s="7"/>
      <c r="E1527" s="7"/>
      <c r="F1527" s="9"/>
      <c r="H1527" s="10"/>
      <c r="I1527" s="10"/>
      <c r="J1527" s="10"/>
      <c r="K1527" s="10"/>
      <c r="L1527" s="10"/>
      <c r="M1527" s="10"/>
      <c r="N1527" s="10"/>
      <c r="O1527" s="7"/>
      <c r="P1527" s="7"/>
      <c r="Q1527" s="7"/>
      <c r="AB1527" s="7"/>
    </row>
    <row r="1528" spans="3:28" ht="13" x14ac:dyDescent="0.15">
      <c r="C1528" s="7"/>
      <c r="D1528" s="7"/>
      <c r="E1528" s="7"/>
      <c r="F1528" s="9"/>
      <c r="H1528" s="10"/>
      <c r="I1528" s="10"/>
      <c r="J1528" s="10"/>
      <c r="K1528" s="10"/>
      <c r="L1528" s="10"/>
      <c r="M1528" s="10"/>
      <c r="N1528" s="10"/>
      <c r="O1528" s="7"/>
      <c r="P1528" s="7"/>
      <c r="Q1528" s="7"/>
      <c r="AB1528" s="7"/>
    </row>
    <row r="1529" spans="3:28" ht="13" x14ac:dyDescent="0.15">
      <c r="C1529" s="7"/>
      <c r="D1529" s="7"/>
      <c r="E1529" s="7"/>
      <c r="F1529" s="9"/>
      <c r="H1529" s="10"/>
      <c r="I1529" s="10"/>
      <c r="J1529" s="10"/>
      <c r="K1529" s="10"/>
      <c r="L1529" s="10"/>
      <c r="M1529" s="10"/>
      <c r="N1529" s="10"/>
      <c r="O1529" s="7"/>
      <c r="P1529" s="7"/>
      <c r="Q1529" s="7"/>
      <c r="AB1529" s="7"/>
    </row>
    <row r="1530" spans="3:28" ht="13" x14ac:dyDescent="0.15">
      <c r="C1530" s="7"/>
      <c r="D1530" s="7"/>
      <c r="E1530" s="7"/>
      <c r="F1530" s="9"/>
      <c r="H1530" s="10"/>
      <c r="I1530" s="10"/>
      <c r="J1530" s="10"/>
      <c r="K1530" s="10"/>
      <c r="L1530" s="10"/>
      <c r="M1530" s="10"/>
      <c r="N1530" s="10"/>
      <c r="O1530" s="7"/>
      <c r="P1530" s="7"/>
      <c r="Q1530" s="7"/>
      <c r="AB1530" s="7"/>
    </row>
    <row r="1531" spans="3:28" ht="13" x14ac:dyDescent="0.15">
      <c r="C1531" s="7"/>
      <c r="D1531" s="7"/>
      <c r="E1531" s="7"/>
      <c r="F1531" s="9"/>
      <c r="H1531" s="10"/>
      <c r="I1531" s="10"/>
      <c r="J1531" s="10"/>
      <c r="K1531" s="10"/>
      <c r="L1531" s="10"/>
      <c r="M1531" s="10"/>
      <c r="N1531" s="10"/>
      <c r="O1531" s="7"/>
      <c r="P1531" s="7"/>
      <c r="Q1531" s="7"/>
      <c r="AB1531" s="7"/>
    </row>
    <row r="1532" spans="3:28" ht="13" x14ac:dyDescent="0.15">
      <c r="C1532" s="7"/>
      <c r="D1532" s="7"/>
      <c r="E1532" s="7"/>
      <c r="F1532" s="9"/>
      <c r="H1532" s="10"/>
      <c r="I1532" s="10"/>
      <c r="J1532" s="10"/>
      <c r="K1532" s="10"/>
      <c r="L1532" s="10"/>
      <c r="M1532" s="10"/>
      <c r="N1532" s="10"/>
      <c r="O1532" s="7"/>
      <c r="P1532" s="7"/>
      <c r="Q1532" s="7"/>
      <c r="AB1532" s="7"/>
    </row>
    <row r="1533" spans="3:28" ht="13" x14ac:dyDescent="0.15">
      <c r="C1533" s="7"/>
      <c r="D1533" s="7"/>
      <c r="E1533" s="7"/>
      <c r="F1533" s="9"/>
      <c r="H1533" s="10"/>
      <c r="I1533" s="10"/>
      <c r="J1533" s="10"/>
      <c r="K1533" s="10"/>
      <c r="L1533" s="10"/>
      <c r="M1533" s="10"/>
      <c r="N1533" s="10"/>
      <c r="O1533" s="7"/>
      <c r="P1533" s="7"/>
      <c r="Q1533" s="7"/>
      <c r="AB1533" s="7"/>
    </row>
    <row r="1534" spans="3:28" ht="13" x14ac:dyDescent="0.15">
      <c r="C1534" s="7"/>
      <c r="D1534" s="7"/>
      <c r="E1534" s="7"/>
      <c r="F1534" s="9"/>
      <c r="H1534" s="10"/>
      <c r="I1534" s="10"/>
      <c r="J1534" s="10"/>
      <c r="K1534" s="10"/>
      <c r="L1534" s="10"/>
      <c r="M1534" s="10"/>
      <c r="N1534" s="10"/>
      <c r="O1534" s="7"/>
      <c r="P1534" s="7"/>
      <c r="Q1534" s="7"/>
      <c r="AB1534" s="7"/>
    </row>
    <row r="1535" spans="3:28" ht="13" x14ac:dyDescent="0.15">
      <c r="C1535" s="7"/>
      <c r="D1535" s="7"/>
      <c r="E1535" s="7"/>
      <c r="F1535" s="9"/>
      <c r="H1535" s="10"/>
      <c r="I1535" s="10"/>
      <c r="J1535" s="10"/>
      <c r="K1535" s="10"/>
      <c r="L1535" s="10"/>
      <c r="M1535" s="10"/>
      <c r="N1535" s="10"/>
      <c r="O1535" s="7"/>
      <c r="P1535" s="7"/>
      <c r="Q1535" s="7"/>
      <c r="AB1535" s="7"/>
    </row>
    <row r="1536" spans="3:28" ht="13" x14ac:dyDescent="0.15">
      <c r="C1536" s="7"/>
      <c r="D1536" s="7"/>
      <c r="E1536" s="7"/>
      <c r="F1536" s="9"/>
      <c r="H1536" s="10"/>
      <c r="I1536" s="10"/>
      <c r="J1536" s="10"/>
      <c r="K1536" s="10"/>
      <c r="L1536" s="10"/>
      <c r="M1536" s="10"/>
      <c r="N1536" s="10"/>
      <c r="O1536" s="7"/>
      <c r="P1536" s="7"/>
      <c r="Q1536" s="7"/>
      <c r="AB1536" s="7"/>
    </row>
    <row r="1537" spans="3:28" ht="13" x14ac:dyDescent="0.15">
      <c r="C1537" s="7"/>
      <c r="D1537" s="7"/>
      <c r="E1537" s="7"/>
      <c r="F1537" s="9"/>
      <c r="H1537" s="10"/>
      <c r="I1537" s="10"/>
      <c r="J1537" s="10"/>
      <c r="K1537" s="10"/>
      <c r="L1537" s="10"/>
      <c r="M1537" s="10"/>
      <c r="N1537" s="10"/>
      <c r="O1537" s="7"/>
      <c r="P1537" s="7"/>
      <c r="Q1537" s="7"/>
      <c r="AB1537" s="7"/>
    </row>
    <row r="1538" spans="3:28" ht="13" x14ac:dyDescent="0.15">
      <c r="C1538" s="7"/>
      <c r="D1538" s="7"/>
      <c r="E1538" s="7"/>
      <c r="F1538" s="9"/>
      <c r="H1538" s="10"/>
      <c r="I1538" s="10"/>
      <c r="J1538" s="10"/>
      <c r="K1538" s="10"/>
      <c r="L1538" s="10"/>
      <c r="M1538" s="10"/>
      <c r="N1538" s="10"/>
      <c r="O1538" s="7"/>
      <c r="P1538" s="7"/>
      <c r="Q1538" s="7"/>
      <c r="AB1538" s="7"/>
    </row>
    <row r="1539" spans="3:28" ht="13" x14ac:dyDescent="0.15">
      <c r="C1539" s="7"/>
      <c r="D1539" s="7"/>
      <c r="E1539" s="7"/>
      <c r="F1539" s="9"/>
      <c r="H1539" s="10"/>
      <c r="I1539" s="10"/>
      <c r="J1539" s="10"/>
      <c r="K1539" s="10"/>
      <c r="L1539" s="10"/>
      <c r="M1539" s="10"/>
      <c r="N1539" s="10"/>
      <c r="O1539" s="7"/>
      <c r="P1539" s="7"/>
      <c r="Q1539" s="7"/>
      <c r="AB1539" s="7"/>
    </row>
    <row r="1540" spans="3:28" ht="13" x14ac:dyDescent="0.15">
      <c r="C1540" s="7"/>
      <c r="D1540" s="7"/>
      <c r="E1540" s="7"/>
      <c r="F1540" s="9"/>
      <c r="H1540" s="10"/>
      <c r="I1540" s="10"/>
      <c r="J1540" s="10"/>
      <c r="K1540" s="10"/>
      <c r="L1540" s="10"/>
      <c r="M1540" s="10"/>
      <c r="N1540" s="10"/>
      <c r="O1540" s="7"/>
      <c r="P1540" s="7"/>
      <c r="Q1540" s="7"/>
      <c r="AB1540" s="7"/>
    </row>
    <row r="1541" spans="3:28" ht="13" x14ac:dyDescent="0.15">
      <c r="C1541" s="7"/>
      <c r="D1541" s="7"/>
      <c r="E1541" s="7"/>
      <c r="F1541" s="9"/>
      <c r="H1541" s="10"/>
      <c r="I1541" s="10"/>
      <c r="J1541" s="10"/>
      <c r="K1541" s="10"/>
      <c r="L1541" s="10"/>
      <c r="M1541" s="10"/>
      <c r="N1541" s="10"/>
      <c r="O1541" s="7"/>
      <c r="P1541" s="7"/>
      <c r="Q1541" s="7"/>
      <c r="AB1541" s="7"/>
    </row>
    <row r="1542" spans="3:28" ht="13" x14ac:dyDescent="0.15">
      <c r="C1542" s="7"/>
      <c r="D1542" s="7"/>
      <c r="E1542" s="7"/>
      <c r="F1542" s="9"/>
      <c r="H1542" s="10"/>
      <c r="I1542" s="10"/>
      <c r="J1542" s="10"/>
      <c r="K1542" s="10"/>
      <c r="L1542" s="10"/>
      <c r="M1542" s="10"/>
      <c r="N1542" s="10"/>
      <c r="O1542" s="7"/>
      <c r="P1542" s="7"/>
      <c r="Q1542" s="7"/>
      <c r="AB1542" s="7"/>
    </row>
    <row r="1543" spans="3:28" ht="13" x14ac:dyDescent="0.15">
      <c r="C1543" s="7"/>
      <c r="D1543" s="7"/>
      <c r="E1543" s="7"/>
      <c r="F1543" s="9"/>
      <c r="H1543" s="10"/>
      <c r="I1543" s="10"/>
      <c r="J1543" s="10"/>
      <c r="K1543" s="10"/>
      <c r="L1543" s="10"/>
      <c r="M1543" s="10"/>
      <c r="N1543" s="10"/>
      <c r="O1543" s="7"/>
      <c r="P1543" s="7"/>
      <c r="Q1543" s="7"/>
      <c r="AB1543" s="7"/>
    </row>
    <row r="1544" spans="3:28" ht="13" x14ac:dyDescent="0.15">
      <c r="C1544" s="7"/>
      <c r="D1544" s="7"/>
      <c r="E1544" s="7"/>
      <c r="F1544" s="9"/>
      <c r="H1544" s="10"/>
      <c r="I1544" s="10"/>
      <c r="J1544" s="10"/>
      <c r="K1544" s="10"/>
      <c r="L1544" s="10"/>
      <c r="M1544" s="10"/>
      <c r="N1544" s="10"/>
      <c r="O1544" s="7"/>
      <c r="P1544" s="7"/>
      <c r="Q1544" s="7"/>
      <c r="AB1544" s="7"/>
    </row>
    <row r="1545" spans="3:28" ht="13" x14ac:dyDescent="0.15">
      <c r="C1545" s="7"/>
      <c r="D1545" s="7"/>
      <c r="E1545" s="7"/>
      <c r="F1545" s="9"/>
      <c r="H1545" s="10"/>
      <c r="I1545" s="10"/>
      <c r="J1545" s="10"/>
      <c r="K1545" s="10"/>
      <c r="L1545" s="10"/>
      <c r="M1545" s="10"/>
      <c r="N1545" s="10"/>
      <c r="O1545" s="7"/>
      <c r="P1545" s="7"/>
      <c r="Q1545" s="7"/>
      <c r="AB1545" s="7"/>
    </row>
    <row r="1546" spans="3:28" ht="13" x14ac:dyDescent="0.15">
      <c r="C1546" s="7"/>
      <c r="D1546" s="7"/>
      <c r="E1546" s="7"/>
      <c r="F1546" s="9"/>
      <c r="H1546" s="10"/>
      <c r="I1546" s="10"/>
      <c r="J1546" s="10"/>
      <c r="K1546" s="10"/>
      <c r="L1546" s="10"/>
      <c r="M1546" s="10"/>
      <c r="N1546" s="10"/>
      <c r="O1546" s="7"/>
      <c r="P1546" s="7"/>
      <c r="Q1546" s="7"/>
      <c r="AB1546" s="7"/>
    </row>
    <row r="1547" spans="3:28" ht="13" x14ac:dyDescent="0.15">
      <c r="C1547" s="7"/>
      <c r="D1547" s="7"/>
      <c r="E1547" s="7"/>
      <c r="F1547" s="9"/>
      <c r="H1547" s="10"/>
      <c r="I1547" s="10"/>
      <c r="J1547" s="10"/>
      <c r="K1547" s="10"/>
      <c r="L1547" s="10"/>
      <c r="M1547" s="10"/>
      <c r="N1547" s="10"/>
      <c r="O1547" s="7"/>
      <c r="P1547" s="7"/>
      <c r="Q1547" s="7"/>
      <c r="AB1547" s="7"/>
    </row>
    <row r="1548" spans="3:28" ht="13" x14ac:dyDescent="0.15">
      <c r="C1548" s="7"/>
      <c r="D1548" s="7"/>
      <c r="E1548" s="7"/>
      <c r="F1548" s="9"/>
      <c r="H1548" s="10"/>
      <c r="I1548" s="10"/>
      <c r="J1548" s="10"/>
      <c r="K1548" s="10"/>
      <c r="L1548" s="10"/>
      <c r="M1548" s="10"/>
      <c r="N1548" s="10"/>
      <c r="O1548" s="7"/>
      <c r="P1548" s="7"/>
      <c r="Q1548" s="7"/>
      <c r="AB1548" s="7"/>
    </row>
    <row r="1549" spans="3:28" ht="13" x14ac:dyDescent="0.15">
      <c r="C1549" s="7"/>
      <c r="D1549" s="7"/>
      <c r="E1549" s="7"/>
      <c r="F1549" s="9"/>
      <c r="H1549" s="10"/>
      <c r="I1549" s="10"/>
      <c r="J1549" s="10"/>
      <c r="K1549" s="10"/>
      <c r="L1549" s="10"/>
      <c r="M1549" s="10"/>
      <c r="N1549" s="10"/>
      <c r="O1549" s="7"/>
      <c r="P1549" s="7"/>
      <c r="Q1549" s="7"/>
      <c r="AB1549" s="7"/>
    </row>
    <row r="1550" spans="3:28" ht="13" x14ac:dyDescent="0.15">
      <c r="C1550" s="7"/>
      <c r="D1550" s="7"/>
      <c r="E1550" s="7"/>
      <c r="F1550" s="9"/>
      <c r="H1550" s="10"/>
      <c r="I1550" s="10"/>
      <c r="J1550" s="10"/>
      <c r="K1550" s="10"/>
      <c r="L1550" s="10"/>
      <c r="M1550" s="10"/>
      <c r="N1550" s="10"/>
      <c r="O1550" s="7"/>
      <c r="P1550" s="7"/>
      <c r="Q1550" s="7"/>
      <c r="AB1550" s="7"/>
    </row>
    <row r="1551" spans="3:28" ht="13" x14ac:dyDescent="0.15">
      <c r="C1551" s="7"/>
      <c r="D1551" s="7"/>
      <c r="E1551" s="7"/>
      <c r="F1551" s="9"/>
      <c r="H1551" s="10"/>
      <c r="I1551" s="10"/>
      <c r="J1551" s="10"/>
      <c r="K1551" s="10"/>
      <c r="L1551" s="10"/>
      <c r="M1551" s="10"/>
      <c r="N1551" s="10"/>
      <c r="O1551" s="7"/>
      <c r="P1551" s="7"/>
      <c r="Q1551" s="7"/>
      <c r="AB1551" s="7"/>
    </row>
    <row r="1552" spans="3:28" ht="13" x14ac:dyDescent="0.15">
      <c r="C1552" s="7"/>
      <c r="D1552" s="7"/>
      <c r="E1552" s="7"/>
      <c r="F1552" s="9"/>
      <c r="H1552" s="10"/>
      <c r="I1552" s="10"/>
      <c r="J1552" s="10"/>
      <c r="K1552" s="10"/>
      <c r="L1552" s="10"/>
      <c r="M1552" s="10"/>
      <c r="N1552" s="10"/>
      <c r="O1552" s="7"/>
      <c r="P1552" s="7"/>
      <c r="Q1552" s="7"/>
      <c r="AB1552" s="7"/>
    </row>
    <row r="1553" spans="3:28" ht="13" x14ac:dyDescent="0.15">
      <c r="C1553" s="7"/>
      <c r="D1553" s="7"/>
      <c r="E1553" s="7"/>
      <c r="F1553" s="9"/>
      <c r="H1553" s="10"/>
      <c r="I1553" s="10"/>
      <c r="J1553" s="10"/>
      <c r="K1553" s="10"/>
      <c r="L1553" s="10"/>
      <c r="M1553" s="10"/>
      <c r="N1553" s="10"/>
      <c r="O1553" s="7"/>
      <c r="P1553" s="7"/>
      <c r="Q1553" s="7"/>
      <c r="AB1553" s="7"/>
    </row>
    <row r="1554" spans="3:28" ht="13" x14ac:dyDescent="0.15">
      <c r="C1554" s="7"/>
      <c r="D1554" s="7"/>
      <c r="E1554" s="7"/>
      <c r="F1554" s="9"/>
      <c r="H1554" s="10"/>
      <c r="I1554" s="10"/>
      <c r="J1554" s="10"/>
      <c r="K1554" s="10"/>
      <c r="L1554" s="10"/>
      <c r="M1554" s="10"/>
      <c r="N1554" s="10"/>
      <c r="O1554" s="7"/>
      <c r="P1554" s="7"/>
      <c r="Q1554" s="7"/>
      <c r="AB1554" s="7"/>
    </row>
    <row r="1555" spans="3:28" ht="13" x14ac:dyDescent="0.15">
      <c r="C1555" s="7"/>
      <c r="D1555" s="7"/>
      <c r="E1555" s="7"/>
      <c r="F1555" s="9"/>
      <c r="H1555" s="10"/>
      <c r="I1555" s="10"/>
      <c r="J1555" s="10"/>
      <c r="K1555" s="10"/>
      <c r="L1555" s="10"/>
      <c r="M1555" s="10"/>
      <c r="N1555" s="10"/>
      <c r="O1555" s="7"/>
      <c r="P1555" s="7"/>
      <c r="Q1555" s="7"/>
      <c r="AB1555" s="7"/>
    </row>
    <row r="1556" spans="3:28" ht="13" x14ac:dyDescent="0.15">
      <c r="C1556" s="7"/>
      <c r="D1556" s="7"/>
      <c r="E1556" s="7"/>
      <c r="F1556" s="9"/>
      <c r="H1556" s="10"/>
      <c r="I1556" s="10"/>
      <c r="J1556" s="10"/>
      <c r="K1556" s="10"/>
      <c r="L1556" s="10"/>
      <c r="M1556" s="10"/>
      <c r="N1556" s="10"/>
      <c r="O1556" s="7"/>
      <c r="P1556" s="7"/>
      <c r="Q1556" s="7"/>
      <c r="AB1556" s="7"/>
    </row>
    <row r="1557" spans="3:28" ht="13" x14ac:dyDescent="0.15">
      <c r="C1557" s="7"/>
      <c r="D1557" s="7"/>
      <c r="E1557" s="7"/>
      <c r="F1557" s="9"/>
      <c r="H1557" s="10"/>
      <c r="I1557" s="10"/>
      <c r="J1557" s="10"/>
      <c r="K1557" s="10"/>
      <c r="L1557" s="10"/>
      <c r="M1557" s="10"/>
      <c r="N1557" s="10"/>
      <c r="O1557" s="7"/>
      <c r="P1557" s="7"/>
      <c r="Q1557" s="7"/>
      <c r="AB1557" s="7"/>
    </row>
    <row r="1558" spans="3:28" ht="13" x14ac:dyDescent="0.15">
      <c r="C1558" s="7"/>
      <c r="D1558" s="7"/>
      <c r="E1558" s="7"/>
      <c r="F1558" s="9"/>
      <c r="H1558" s="10"/>
      <c r="I1558" s="10"/>
      <c r="J1558" s="10"/>
      <c r="K1558" s="10"/>
      <c r="L1558" s="10"/>
      <c r="M1558" s="10"/>
      <c r="N1558" s="10"/>
      <c r="O1558" s="7"/>
      <c r="P1558" s="7"/>
      <c r="Q1558" s="7"/>
      <c r="AB1558" s="7"/>
    </row>
    <row r="1559" spans="3:28" ht="13" x14ac:dyDescent="0.15">
      <c r="C1559" s="7"/>
      <c r="D1559" s="7"/>
      <c r="E1559" s="7"/>
      <c r="F1559" s="9"/>
      <c r="H1559" s="10"/>
      <c r="I1559" s="10"/>
      <c r="J1559" s="10"/>
      <c r="K1559" s="10"/>
      <c r="L1559" s="10"/>
      <c r="M1559" s="10"/>
      <c r="N1559" s="10"/>
      <c r="O1559" s="7"/>
      <c r="P1559" s="7"/>
      <c r="Q1559" s="7"/>
      <c r="AB1559" s="7"/>
    </row>
    <row r="1560" spans="3:28" ht="13" x14ac:dyDescent="0.15">
      <c r="C1560" s="7"/>
      <c r="D1560" s="7"/>
      <c r="E1560" s="7"/>
      <c r="F1560" s="9"/>
      <c r="H1560" s="10"/>
      <c r="I1560" s="10"/>
      <c r="J1560" s="10"/>
      <c r="K1560" s="10"/>
      <c r="L1560" s="10"/>
      <c r="M1560" s="10"/>
      <c r="N1560" s="10"/>
      <c r="O1560" s="7"/>
      <c r="P1560" s="7"/>
      <c r="Q1560" s="7"/>
      <c r="AB1560" s="7"/>
    </row>
    <row r="1561" spans="3:28" ht="13" x14ac:dyDescent="0.15">
      <c r="C1561" s="7"/>
      <c r="D1561" s="7"/>
      <c r="E1561" s="7"/>
      <c r="F1561" s="9"/>
      <c r="H1561" s="10"/>
      <c r="I1561" s="10"/>
      <c r="J1561" s="10"/>
      <c r="K1561" s="10"/>
      <c r="L1561" s="10"/>
      <c r="M1561" s="10"/>
      <c r="N1561" s="10"/>
      <c r="O1561" s="7"/>
      <c r="P1561" s="7"/>
      <c r="Q1561" s="7"/>
      <c r="AB1561" s="7"/>
    </row>
    <row r="1562" spans="3:28" ht="13" x14ac:dyDescent="0.15">
      <c r="C1562" s="7"/>
      <c r="D1562" s="7"/>
      <c r="E1562" s="7"/>
      <c r="F1562" s="9"/>
      <c r="H1562" s="10"/>
      <c r="I1562" s="10"/>
      <c r="J1562" s="10"/>
      <c r="K1562" s="10"/>
      <c r="L1562" s="10"/>
      <c r="M1562" s="10"/>
      <c r="N1562" s="10"/>
      <c r="O1562" s="7"/>
      <c r="P1562" s="7"/>
      <c r="Q1562" s="7"/>
      <c r="AB1562" s="7"/>
    </row>
    <row r="1563" spans="3:28" ht="13" x14ac:dyDescent="0.15">
      <c r="C1563" s="7"/>
      <c r="D1563" s="7"/>
      <c r="E1563" s="7"/>
      <c r="F1563" s="9"/>
      <c r="H1563" s="10"/>
      <c r="I1563" s="10"/>
      <c r="J1563" s="10"/>
      <c r="K1563" s="10"/>
      <c r="L1563" s="10"/>
      <c r="M1563" s="10"/>
      <c r="N1563" s="10"/>
      <c r="O1563" s="7"/>
      <c r="P1563" s="7"/>
      <c r="Q1563" s="7"/>
      <c r="AB1563" s="7"/>
    </row>
    <row r="1564" spans="3:28" ht="13" x14ac:dyDescent="0.15">
      <c r="C1564" s="7"/>
      <c r="D1564" s="7"/>
      <c r="E1564" s="7"/>
      <c r="F1564" s="9"/>
      <c r="H1564" s="10"/>
      <c r="I1564" s="10"/>
      <c r="J1564" s="10"/>
      <c r="K1564" s="10"/>
      <c r="L1564" s="10"/>
      <c r="M1564" s="10"/>
      <c r="N1564" s="10"/>
      <c r="O1564" s="7"/>
      <c r="P1564" s="7"/>
      <c r="Q1564" s="7"/>
      <c r="AB1564" s="7"/>
    </row>
    <row r="1565" spans="3:28" ht="13" x14ac:dyDescent="0.15">
      <c r="C1565" s="7"/>
      <c r="D1565" s="7"/>
      <c r="E1565" s="7"/>
      <c r="F1565" s="9"/>
      <c r="H1565" s="10"/>
      <c r="I1565" s="10"/>
      <c r="J1565" s="10"/>
      <c r="K1565" s="10"/>
      <c r="L1565" s="10"/>
      <c r="M1565" s="10"/>
      <c r="N1565" s="10"/>
      <c r="O1565" s="7"/>
      <c r="P1565" s="7"/>
      <c r="Q1565" s="7"/>
      <c r="AB1565" s="7"/>
    </row>
    <row r="1566" spans="3:28" ht="13" x14ac:dyDescent="0.15">
      <c r="C1566" s="7"/>
      <c r="D1566" s="7"/>
      <c r="E1566" s="7"/>
      <c r="F1566" s="9"/>
      <c r="H1566" s="10"/>
      <c r="I1566" s="10"/>
      <c r="J1566" s="10"/>
      <c r="K1566" s="10"/>
      <c r="L1566" s="10"/>
      <c r="M1566" s="10"/>
      <c r="N1566" s="10"/>
      <c r="O1566" s="7"/>
      <c r="P1566" s="7"/>
      <c r="Q1566" s="7"/>
      <c r="AB1566" s="7"/>
    </row>
    <row r="1567" spans="3:28" ht="13" x14ac:dyDescent="0.15">
      <c r="C1567" s="7"/>
      <c r="D1567" s="7"/>
      <c r="E1567" s="7"/>
      <c r="F1567" s="9"/>
      <c r="H1567" s="10"/>
      <c r="I1567" s="10"/>
      <c r="J1567" s="10"/>
      <c r="K1567" s="10"/>
      <c r="L1567" s="10"/>
      <c r="M1567" s="10"/>
      <c r="N1567" s="10"/>
      <c r="O1567" s="7"/>
      <c r="P1567" s="7"/>
      <c r="Q1567" s="7"/>
      <c r="AB1567" s="7"/>
    </row>
    <row r="1568" spans="3:28" ht="13" x14ac:dyDescent="0.15">
      <c r="C1568" s="7"/>
      <c r="D1568" s="7"/>
      <c r="E1568" s="7"/>
      <c r="F1568" s="9"/>
      <c r="H1568" s="10"/>
      <c r="I1568" s="10"/>
      <c r="J1568" s="10"/>
      <c r="K1568" s="10"/>
      <c r="L1568" s="10"/>
      <c r="M1568" s="10"/>
      <c r="N1568" s="10"/>
      <c r="O1568" s="7"/>
      <c r="P1568" s="7"/>
      <c r="Q1568" s="7"/>
      <c r="AB1568" s="7"/>
    </row>
    <row r="1569" spans="3:28" ht="13" x14ac:dyDescent="0.15">
      <c r="C1569" s="7"/>
      <c r="D1569" s="7"/>
      <c r="E1569" s="7"/>
      <c r="F1569" s="9"/>
      <c r="H1569" s="10"/>
      <c r="I1569" s="10"/>
      <c r="J1569" s="10"/>
      <c r="K1569" s="10"/>
      <c r="L1569" s="10"/>
      <c r="M1569" s="10"/>
      <c r="N1569" s="10"/>
      <c r="O1569" s="7"/>
      <c r="P1569" s="7"/>
      <c r="Q1569" s="7"/>
      <c r="AB1569" s="7"/>
    </row>
    <row r="1570" spans="3:28" ht="13" x14ac:dyDescent="0.15">
      <c r="C1570" s="7"/>
      <c r="D1570" s="7"/>
      <c r="E1570" s="7"/>
      <c r="F1570" s="9"/>
      <c r="H1570" s="10"/>
      <c r="I1570" s="10"/>
      <c r="J1570" s="10"/>
      <c r="K1570" s="10"/>
      <c r="L1570" s="10"/>
      <c r="M1570" s="10"/>
      <c r="N1570" s="10"/>
      <c r="O1570" s="7"/>
      <c r="P1570" s="7"/>
      <c r="Q1570" s="7"/>
      <c r="AB1570" s="7"/>
    </row>
    <row r="1571" spans="3:28" ht="13" x14ac:dyDescent="0.15">
      <c r="C1571" s="7"/>
      <c r="D1571" s="7"/>
      <c r="E1571" s="7"/>
      <c r="F1571" s="9"/>
      <c r="H1571" s="10"/>
      <c r="I1571" s="10"/>
      <c r="J1571" s="10"/>
      <c r="K1571" s="10"/>
      <c r="L1571" s="10"/>
      <c r="M1571" s="10"/>
      <c r="N1571" s="10"/>
      <c r="O1571" s="7"/>
      <c r="P1571" s="7"/>
      <c r="Q1571" s="7"/>
      <c r="AB1571" s="7"/>
    </row>
    <row r="1572" spans="3:28" ht="13" x14ac:dyDescent="0.15">
      <c r="C1572" s="7"/>
      <c r="D1572" s="7"/>
      <c r="E1572" s="7"/>
      <c r="F1572" s="9"/>
      <c r="H1572" s="10"/>
      <c r="I1572" s="10"/>
      <c r="J1572" s="10"/>
      <c r="K1572" s="10"/>
      <c r="L1572" s="10"/>
      <c r="M1572" s="10"/>
      <c r="N1572" s="10"/>
      <c r="O1572" s="7"/>
      <c r="P1572" s="7"/>
      <c r="Q1572" s="7"/>
      <c r="AB1572" s="7"/>
    </row>
    <row r="1573" spans="3:28" ht="13" x14ac:dyDescent="0.15">
      <c r="C1573" s="7"/>
      <c r="D1573" s="7"/>
      <c r="E1573" s="7"/>
      <c r="F1573" s="9"/>
      <c r="H1573" s="10"/>
      <c r="I1573" s="10"/>
      <c r="J1573" s="10"/>
      <c r="K1573" s="10"/>
      <c r="L1573" s="10"/>
      <c r="M1573" s="10"/>
      <c r="N1573" s="10"/>
      <c r="O1573" s="7"/>
      <c r="P1573" s="7"/>
      <c r="Q1573" s="7"/>
      <c r="AB1573" s="7"/>
    </row>
    <row r="1574" spans="3:28" ht="13" x14ac:dyDescent="0.15">
      <c r="C1574" s="7"/>
      <c r="D1574" s="7"/>
      <c r="E1574" s="7"/>
      <c r="F1574" s="9"/>
      <c r="H1574" s="10"/>
      <c r="I1574" s="10"/>
      <c r="J1574" s="10"/>
      <c r="K1574" s="10"/>
      <c r="L1574" s="10"/>
      <c r="M1574" s="10"/>
      <c r="N1574" s="10"/>
      <c r="O1574" s="7"/>
      <c r="P1574" s="7"/>
      <c r="Q1574" s="7"/>
      <c r="AB1574" s="7"/>
    </row>
    <row r="1575" spans="3:28" ht="13" x14ac:dyDescent="0.15">
      <c r="C1575" s="7"/>
      <c r="D1575" s="7"/>
      <c r="E1575" s="7"/>
      <c r="F1575" s="9"/>
      <c r="H1575" s="10"/>
      <c r="I1575" s="10"/>
      <c r="J1575" s="10"/>
      <c r="K1575" s="10"/>
      <c r="L1575" s="10"/>
      <c r="M1575" s="10"/>
      <c r="N1575" s="10"/>
      <c r="O1575" s="7"/>
      <c r="P1575" s="7"/>
      <c r="Q1575" s="7"/>
      <c r="AB1575" s="7"/>
    </row>
    <row r="1576" spans="3:28" ht="13" x14ac:dyDescent="0.15">
      <c r="C1576" s="7"/>
      <c r="D1576" s="7"/>
      <c r="E1576" s="7"/>
      <c r="F1576" s="9"/>
      <c r="H1576" s="10"/>
      <c r="I1576" s="10"/>
      <c r="J1576" s="10"/>
      <c r="K1576" s="10"/>
      <c r="L1576" s="10"/>
      <c r="M1576" s="10"/>
      <c r="N1576" s="10"/>
      <c r="O1576" s="7"/>
      <c r="P1576" s="7"/>
      <c r="Q1576" s="7"/>
      <c r="AB1576" s="7"/>
    </row>
    <row r="1577" spans="3:28" ht="13" x14ac:dyDescent="0.15">
      <c r="C1577" s="7"/>
      <c r="D1577" s="7"/>
      <c r="E1577" s="7"/>
      <c r="F1577" s="9"/>
      <c r="H1577" s="10"/>
      <c r="I1577" s="10"/>
      <c r="J1577" s="10"/>
      <c r="K1577" s="10"/>
      <c r="L1577" s="10"/>
      <c r="M1577" s="10"/>
      <c r="N1577" s="10"/>
      <c r="O1577" s="7"/>
      <c r="P1577" s="7"/>
      <c r="Q1577" s="7"/>
      <c r="AB1577" s="7"/>
    </row>
    <row r="1578" spans="3:28" ht="13" x14ac:dyDescent="0.15">
      <c r="C1578" s="7"/>
      <c r="D1578" s="7"/>
      <c r="E1578" s="7"/>
      <c r="F1578" s="9"/>
      <c r="H1578" s="10"/>
      <c r="I1578" s="10"/>
      <c r="J1578" s="10"/>
      <c r="K1578" s="10"/>
      <c r="L1578" s="10"/>
      <c r="M1578" s="10"/>
      <c r="N1578" s="10"/>
      <c r="O1578" s="7"/>
      <c r="P1578" s="7"/>
      <c r="Q1578" s="7"/>
      <c r="AB1578" s="7"/>
    </row>
    <row r="1579" spans="3:28" ht="13" x14ac:dyDescent="0.15">
      <c r="C1579" s="7"/>
      <c r="D1579" s="7"/>
      <c r="E1579" s="7"/>
      <c r="F1579" s="9"/>
      <c r="H1579" s="10"/>
      <c r="I1579" s="10"/>
      <c r="J1579" s="10"/>
      <c r="K1579" s="10"/>
      <c r="L1579" s="10"/>
      <c r="M1579" s="10"/>
      <c r="N1579" s="10"/>
      <c r="O1579" s="7"/>
      <c r="P1579" s="7"/>
      <c r="Q1579" s="7"/>
      <c r="AB1579" s="7"/>
    </row>
    <row r="1580" spans="3:28" ht="13" x14ac:dyDescent="0.15">
      <c r="C1580" s="7"/>
      <c r="D1580" s="7"/>
      <c r="E1580" s="7"/>
      <c r="F1580" s="9"/>
      <c r="H1580" s="10"/>
      <c r="I1580" s="10"/>
      <c r="J1580" s="10"/>
      <c r="K1580" s="10"/>
      <c r="L1580" s="10"/>
      <c r="M1580" s="10"/>
      <c r="N1580" s="10"/>
      <c r="O1580" s="7"/>
      <c r="P1580" s="7"/>
      <c r="Q1580" s="7"/>
      <c r="AB1580" s="7"/>
    </row>
    <row r="1581" spans="3:28" ht="13" x14ac:dyDescent="0.15">
      <c r="C1581" s="7"/>
      <c r="D1581" s="7"/>
      <c r="E1581" s="7"/>
      <c r="F1581" s="9"/>
      <c r="H1581" s="10"/>
      <c r="I1581" s="10"/>
      <c r="J1581" s="10"/>
      <c r="K1581" s="10"/>
      <c r="L1581" s="10"/>
      <c r="M1581" s="10"/>
      <c r="N1581" s="10"/>
      <c r="O1581" s="7"/>
      <c r="P1581" s="7"/>
      <c r="Q1581" s="7"/>
      <c r="AB1581" s="7"/>
    </row>
    <row r="1582" spans="3:28" ht="13" x14ac:dyDescent="0.15">
      <c r="C1582" s="7"/>
      <c r="D1582" s="7"/>
      <c r="E1582" s="7"/>
      <c r="F1582" s="9"/>
      <c r="H1582" s="10"/>
      <c r="I1582" s="10"/>
      <c r="J1582" s="10"/>
      <c r="K1582" s="10"/>
      <c r="L1582" s="10"/>
      <c r="M1582" s="10"/>
      <c r="N1582" s="10"/>
      <c r="O1582" s="7"/>
      <c r="P1582" s="7"/>
      <c r="Q1582" s="7"/>
      <c r="AB1582" s="7"/>
    </row>
    <row r="1583" spans="3:28" ht="13" x14ac:dyDescent="0.15">
      <c r="C1583" s="7"/>
      <c r="D1583" s="7"/>
      <c r="E1583" s="7"/>
      <c r="F1583" s="9"/>
      <c r="H1583" s="10"/>
      <c r="I1583" s="10"/>
      <c r="J1583" s="10"/>
      <c r="K1583" s="10"/>
      <c r="L1583" s="10"/>
      <c r="M1583" s="10"/>
      <c r="N1583" s="10"/>
      <c r="O1583" s="7"/>
      <c r="P1583" s="7"/>
      <c r="Q1583" s="7"/>
      <c r="AB1583" s="7"/>
    </row>
    <row r="1584" spans="3:28" ht="13" x14ac:dyDescent="0.15">
      <c r="C1584" s="7"/>
      <c r="D1584" s="7"/>
      <c r="E1584" s="7"/>
      <c r="F1584" s="9"/>
      <c r="H1584" s="10"/>
      <c r="I1584" s="10"/>
      <c r="J1584" s="10"/>
      <c r="K1584" s="10"/>
      <c r="L1584" s="10"/>
      <c r="M1584" s="10"/>
      <c r="N1584" s="10"/>
      <c r="O1584" s="7"/>
      <c r="P1584" s="7"/>
      <c r="Q1584" s="7"/>
      <c r="AB1584" s="7"/>
    </row>
    <row r="1585" spans="3:28" ht="13" x14ac:dyDescent="0.15">
      <c r="C1585" s="7"/>
      <c r="D1585" s="7"/>
      <c r="E1585" s="7"/>
      <c r="F1585" s="9"/>
      <c r="H1585" s="10"/>
      <c r="I1585" s="10"/>
      <c r="J1585" s="10"/>
      <c r="K1585" s="10"/>
      <c r="L1585" s="10"/>
      <c r="M1585" s="10"/>
      <c r="N1585" s="10"/>
      <c r="O1585" s="7"/>
      <c r="P1585" s="7"/>
      <c r="Q1585" s="7"/>
      <c r="AB1585" s="7"/>
    </row>
    <row r="1586" spans="3:28" ht="13" x14ac:dyDescent="0.15">
      <c r="C1586" s="7"/>
      <c r="D1586" s="7"/>
      <c r="E1586" s="7"/>
      <c r="F1586" s="9"/>
      <c r="H1586" s="10"/>
      <c r="I1586" s="10"/>
      <c r="J1586" s="10"/>
      <c r="K1586" s="10"/>
      <c r="L1586" s="10"/>
      <c r="M1586" s="10"/>
      <c r="N1586" s="10"/>
      <c r="O1586" s="7"/>
      <c r="P1586" s="7"/>
      <c r="Q1586" s="7"/>
      <c r="AB1586" s="7"/>
    </row>
    <row r="1587" spans="3:28" ht="13" x14ac:dyDescent="0.15">
      <c r="C1587" s="7"/>
      <c r="D1587" s="7"/>
      <c r="E1587" s="7"/>
      <c r="F1587" s="9"/>
      <c r="H1587" s="10"/>
      <c r="I1587" s="10"/>
      <c r="J1587" s="10"/>
      <c r="K1587" s="10"/>
      <c r="L1587" s="10"/>
      <c r="M1587" s="10"/>
      <c r="N1587" s="10"/>
      <c r="O1587" s="7"/>
      <c r="P1587" s="7"/>
      <c r="Q1587" s="7"/>
      <c r="AB1587" s="7"/>
    </row>
    <row r="1588" spans="3:28" ht="13" x14ac:dyDescent="0.15">
      <c r="C1588" s="7"/>
      <c r="D1588" s="7"/>
      <c r="E1588" s="7"/>
      <c r="F1588" s="9"/>
      <c r="H1588" s="10"/>
      <c r="I1588" s="10"/>
      <c r="J1588" s="10"/>
      <c r="K1588" s="10"/>
      <c r="L1588" s="10"/>
      <c r="M1588" s="10"/>
      <c r="N1588" s="10"/>
      <c r="O1588" s="7"/>
      <c r="P1588" s="7"/>
      <c r="Q1588" s="7"/>
      <c r="AB1588" s="7"/>
    </row>
    <row r="1589" spans="3:28" ht="13" x14ac:dyDescent="0.15">
      <c r="C1589" s="7"/>
      <c r="D1589" s="7"/>
      <c r="E1589" s="7"/>
      <c r="F1589" s="9"/>
      <c r="H1589" s="10"/>
      <c r="I1589" s="10"/>
      <c r="J1589" s="10"/>
      <c r="K1589" s="10"/>
      <c r="L1589" s="10"/>
      <c r="M1589" s="10"/>
      <c r="N1589" s="10"/>
      <c r="O1589" s="7"/>
      <c r="P1589" s="7"/>
      <c r="Q1589" s="7"/>
      <c r="AB1589" s="7"/>
    </row>
    <row r="1590" spans="3:28" ht="13" x14ac:dyDescent="0.15">
      <c r="C1590" s="7"/>
      <c r="D1590" s="7"/>
      <c r="E1590" s="7"/>
      <c r="F1590" s="9"/>
      <c r="H1590" s="10"/>
      <c r="I1590" s="10"/>
      <c r="J1590" s="10"/>
      <c r="K1590" s="10"/>
      <c r="L1590" s="10"/>
      <c r="M1590" s="10"/>
      <c r="N1590" s="10"/>
      <c r="O1590" s="7"/>
      <c r="P1590" s="7"/>
      <c r="Q1590" s="7"/>
      <c r="AB1590" s="7"/>
    </row>
    <row r="1591" spans="3:28" ht="13" x14ac:dyDescent="0.15">
      <c r="C1591" s="7"/>
      <c r="D1591" s="7"/>
      <c r="E1591" s="7"/>
      <c r="F1591" s="9"/>
      <c r="H1591" s="10"/>
      <c r="I1591" s="10"/>
      <c r="J1591" s="10"/>
      <c r="K1591" s="10"/>
      <c r="L1591" s="10"/>
      <c r="M1591" s="10"/>
      <c r="N1591" s="10"/>
      <c r="O1591" s="7"/>
      <c r="P1591" s="7"/>
      <c r="Q1591" s="7"/>
      <c r="AB1591" s="7"/>
    </row>
    <row r="1592" spans="3:28" ht="13" x14ac:dyDescent="0.15">
      <c r="C1592" s="7"/>
      <c r="D1592" s="7"/>
      <c r="E1592" s="7"/>
      <c r="F1592" s="9"/>
      <c r="H1592" s="10"/>
      <c r="I1592" s="10"/>
      <c r="J1592" s="10"/>
      <c r="K1592" s="10"/>
      <c r="L1592" s="10"/>
      <c r="M1592" s="10"/>
      <c r="N1592" s="10"/>
      <c r="O1592" s="7"/>
      <c r="P1592" s="7"/>
      <c r="Q1592" s="7"/>
      <c r="AB1592" s="7"/>
    </row>
    <row r="1593" spans="3:28" ht="13" x14ac:dyDescent="0.15">
      <c r="C1593" s="7"/>
      <c r="D1593" s="7"/>
      <c r="E1593" s="7"/>
      <c r="F1593" s="9"/>
      <c r="H1593" s="10"/>
      <c r="I1593" s="10"/>
      <c r="J1593" s="10"/>
      <c r="K1593" s="10"/>
      <c r="L1593" s="10"/>
      <c r="M1593" s="10"/>
      <c r="N1593" s="10"/>
      <c r="O1593" s="7"/>
      <c r="P1593" s="7"/>
      <c r="Q1593" s="7"/>
      <c r="AB1593" s="7"/>
    </row>
    <row r="1594" spans="3:28" ht="13" x14ac:dyDescent="0.15">
      <c r="C1594" s="7"/>
      <c r="D1594" s="7"/>
      <c r="E1594" s="7"/>
      <c r="F1594" s="9"/>
      <c r="H1594" s="10"/>
      <c r="I1594" s="10"/>
      <c r="J1594" s="10"/>
      <c r="K1594" s="10"/>
      <c r="L1594" s="10"/>
      <c r="M1594" s="10"/>
      <c r="N1594" s="10"/>
      <c r="O1594" s="7"/>
      <c r="P1594" s="7"/>
      <c r="Q1594" s="7"/>
      <c r="AB1594" s="7"/>
    </row>
    <row r="1595" spans="3:28" ht="13" x14ac:dyDescent="0.15">
      <c r="C1595" s="7"/>
      <c r="D1595" s="7"/>
      <c r="E1595" s="7"/>
      <c r="F1595" s="9"/>
      <c r="H1595" s="10"/>
      <c r="I1595" s="10"/>
      <c r="J1595" s="10"/>
      <c r="K1595" s="10"/>
      <c r="L1595" s="10"/>
      <c r="M1595" s="10"/>
      <c r="N1595" s="10"/>
      <c r="O1595" s="7"/>
      <c r="P1595" s="7"/>
      <c r="Q1595" s="7"/>
      <c r="AB1595" s="7"/>
    </row>
    <row r="1596" spans="3:28" ht="13" x14ac:dyDescent="0.15">
      <c r="C1596" s="7"/>
      <c r="D1596" s="7"/>
      <c r="E1596" s="7"/>
      <c r="F1596" s="9"/>
      <c r="H1596" s="10"/>
      <c r="I1596" s="10"/>
      <c r="J1596" s="10"/>
      <c r="K1596" s="10"/>
      <c r="L1596" s="10"/>
      <c r="M1596" s="10"/>
      <c r="N1596" s="10"/>
      <c r="O1596" s="7"/>
      <c r="P1596" s="7"/>
      <c r="Q1596" s="7"/>
      <c r="AB1596" s="7"/>
    </row>
    <row r="1597" spans="3:28" ht="13" x14ac:dyDescent="0.15">
      <c r="C1597" s="7"/>
      <c r="D1597" s="7"/>
      <c r="E1597" s="7"/>
      <c r="F1597" s="9"/>
      <c r="H1597" s="10"/>
      <c r="I1597" s="10"/>
      <c r="J1597" s="10"/>
      <c r="K1597" s="10"/>
      <c r="L1597" s="10"/>
      <c r="M1597" s="10"/>
      <c r="N1597" s="10"/>
      <c r="O1597" s="7"/>
      <c r="P1597" s="7"/>
      <c r="Q1597" s="7"/>
      <c r="AB1597" s="7"/>
    </row>
    <row r="1598" spans="3:28" ht="13" x14ac:dyDescent="0.15">
      <c r="C1598" s="7"/>
      <c r="D1598" s="7"/>
      <c r="E1598" s="7"/>
      <c r="F1598" s="9"/>
      <c r="H1598" s="10"/>
      <c r="I1598" s="10"/>
      <c r="J1598" s="10"/>
      <c r="K1598" s="10"/>
      <c r="L1598" s="10"/>
      <c r="M1598" s="10"/>
      <c r="N1598" s="10"/>
      <c r="O1598" s="7"/>
      <c r="P1598" s="7"/>
      <c r="Q1598" s="7"/>
      <c r="AB1598" s="7"/>
    </row>
    <row r="1599" spans="3:28" ht="13" x14ac:dyDescent="0.15">
      <c r="C1599" s="7"/>
      <c r="D1599" s="7"/>
      <c r="E1599" s="7"/>
      <c r="F1599" s="9"/>
      <c r="H1599" s="10"/>
      <c r="I1599" s="10"/>
      <c r="J1599" s="10"/>
      <c r="K1599" s="10"/>
      <c r="L1599" s="10"/>
      <c r="M1599" s="10"/>
      <c r="N1599" s="10"/>
      <c r="O1599" s="7"/>
      <c r="P1599" s="7"/>
      <c r="Q1599" s="7"/>
      <c r="AB1599" s="7"/>
    </row>
    <row r="1600" spans="3:28" ht="13" x14ac:dyDescent="0.15">
      <c r="C1600" s="7"/>
      <c r="D1600" s="7"/>
      <c r="E1600" s="7"/>
      <c r="F1600" s="9"/>
      <c r="H1600" s="10"/>
      <c r="I1600" s="10"/>
      <c r="J1600" s="10"/>
      <c r="K1600" s="10"/>
      <c r="L1600" s="10"/>
      <c r="M1600" s="10"/>
      <c r="N1600" s="10"/>
      <c r="O1600" s="7"/>
      <c r="P1600" s="7"/>
      <c r="Q1600" s="7"/>
      <c r="AB1600" s="7"/>
    </row>
    <row r="1601" spans="3:28" ht="13" x14ac:dyDescent="0.15">
      <c r="C1601" s="7"/>
      <c r="D1601" s="7"/>
      <c r="E1601" s="7"/>
      <c r="F1601" s="9"/>
      <c r="H1601" s="10"/>
      <c r="I1601" s="10"/>
      <c r="J1601" s="10"/>
      <c r="K1601" s="10"/>
      <c r="L1601" s="10"/>
      <c r="M1601" s="10"/>
      <c r="N1601" s="10"/>
      <c r="O1601" s="7"/>
      <c r="P1601" s="7"/>
      <c r="Q1601" s="7"/>
      <c r="AB1601" s="7"/>
    </row>
    <row r="1602" spans="3:28" ht="13" x14ac:dyDescent="0.15">
      <c r="C1602" s="7"/>
      <c r="D1602" s="7"/>
      <c r="E1602" s="7"/>
      <c r="F1602" s="9"/>
      <c r="H1602" s="10"/>
      <c r="I1602" s="10"/>
      <c r="J1602" s="10"/>
      <c r="K1602" s="10"/>
      <c r="L1602" s="10"/>
      <c r="M1602" s="10"/>
      <c r="N1602" s="10"/>
      <c r="O1602" s="7"/>
      <c r="P1602" s="7"/>
      <c r="Q1602" s="7"/>
      <c r="AB1602" s="7"/>
    </row>
    <row r="1603" spans="3:28" ht="13" x14ac:dyDescent="0.15">
      <c r="C1603" s="7"/>
      <c r="D1603" s="7"/>
      <c r="E1603" s="7"/>
      <c r="F1603" s="9"/>
      <c r="H1603" s="10"/>
      <c r="I1603" s="10"/>
      <c r="J1603" s="10"/>
      <c r="K1603" s="10"/>
      <c r="L1603" s="10"/>
      <c r="M1603" s="10"/>
      <c r="N1603" s="10"/>
      <c r="O1603" s="7"/>
      <c r="P1603" s="7"/>
      <c r="Q1603" s="7"/>
      <c r="AB1603" s="7"/>
    </row>
    <row r="1604" spans="3:28" ht="13" x14ac:dyDescent="0.15">
      <c r="C1604" s="7"/>
      <c r="D1604" s="7"/>
      <c r="E1604" s="7"/>
      <c r="F1604" s="9"/>
      <c r="H1604" s="10"/>
      <c r="I1604" s="10"/>
      <c r="J1604" s="10"/>
      <c r="K1604" s="10"/>
      <c r="L1604" s="10"/>
      <c r="M1604" s="10"/>
      <c r="N1604" s="10"/>
      <c r="O1604" s="7"/>
      <c r="P1604" s="7"/>
      <c r="Q1604" s="7"/>
      <c r="AB1604" s="7"/>
    </row>
    <row r="1605" spans="3:28" ht="13" x14ac:dyDescent="0.15">
      <c r="C1605" s="7"/>
      <c r="D1605" s="7"/>
      <c r="E1605" s="7"/>
      <c r="F1605" s="9"/>
      <c r="H1605" s="10"/>
      <c r="I1605" s="10"/>
      <c r="J1605" s="10"/>
      <c r="K1605" s="10"/>
      <c r="L1605" s="10"/>
      <c r="M1605" s="10"/>
      <c r="N1605" s="10"/>
      <c r="O1605" s="7"/>
      <c r="P1605" s="7"/>
      <c r="Q1605" s="7"/>
      <c r="AB1605" s="7"/>
    </row>
    <row r="1606" spans="3:28" ht="13" x14ac:dyDescent="0.15">
      <c r="C1606" s="7"/>
      <c r="D1606" s="7"/>
      <c r="E1606" s="7"/>
      <c r="F1606" s="9"/>
      <c r="H1606" s="10"/>
      <c r="I1606" s="10"/>
      <c r="J1606" s="10"/>
      <c r="K1606" s="10"/>
      <c r="L1606" s="10"/>
      <c r="M1606" s="10"/>
      <c r="N1606" s="10"/>
      <c r="O1606" s="7"/>
      <c r="P1606" s="7"/>
      <c r="Q1606" s="7"/>
      <c r="AB1606" s="7"/>
    </row>
    <row r="1607" spans="3:28" ht="13" x14ac:dyDescent="0.15">
      <c r="C1607" s="7"/>
      <c r="D1607" s="7"/>
      <c r="E1607" s="7"/>
      <c r="F1607" s="9"/>
      <c r="H1607" s="10"/>
      <c r="I1607" s="10"/>
      <c r="J1607" s="10"/>
      <c r="K1607" s="10"/>
      <c r="L1607" s="10"/>
      <c r="M1607" s="10"/>
      <c r="N1607" s="10"/>
      <c r="O1607" s="7"/>
      <c r="P1607" s="7"/>
      <c r="Q1607" s="7"/>
      <c r="AB1607" s="7"/>
    </row>
    <row r="1608" spans="3:28" ht="13" x14ac:dyDescent="0.15">
      <c r="C1608" s="7"/>
      <c r="D1608" s="7"/>
      <c r="E1608" s="7"/>
      <c r="F1608" s="9"/>
      <c r="H1608" s="10"/>
      <c r="I1608" s="10"/>
      <c r="J1608" s="10"/>
      <c r="K1608" s="10"/>
      <c r="L1608" s="10"/>
      <c r="M1608" s="10"/>
      <c r="N1608" s="10"/>
      <c r="O1608" s="7"/>
      <c r="P1608" s="7"/>
      <c r="Q1608" s="7"/>
      <c r="AB1608" s="7"/>
    </row>
    <row r="1609" spans="3:28" ht="13" x14ac:dyDescent="0.15">
      <c r="C1609" s="7"/>
      <c r="D1609" s="7"/>
      <c r="E1609" s="7"/>
      <c r="F1609" s="9"/>
      <c r="H1609" s="10"/>
      <c r="I1609" s="10"/>
      <c r="J1609" s="10"/>
      <c r="K1609" s="10"/>
      <c r="L1609" s="10"/>
      <c r="M1609" s="10"/>
      <c r="N1609" s="10"/>
      <c r="O1609" s="7"/>
      <c r="P1609" s="7"/>
      <c r="Q1609" s="7"/>
      <c r="AB1609" s="7"/>
    </row>
    <row r="1610" spans="3:28" ht="13" x14ac:dyDescent="0.15">
      <c r="C1610" s="7"/>
      <c r="D1610" s="7"/>
      <c r="E1610" s="7"/>
      <c r="F1610" s="9"/>
      <c r="H1610" s="10"/>
      <c r="I1610" s="10"/>
      <c r="J1610" s="10"/>
      <c r="K1610" s="10"/>
      <c r="L1610" s="10"/>
      <c r="M1610" s="10"/>
      <c r="N1610" s="10"/>
      <c r="O1610" s="7"/>
      <c r="P1610" s="7"/>
      <c r="Q1610" s="7"/>
      <c r="AB1610" s="7"/>
    </row>
    <row r="1611" spans="3:28" ht="13" x14ac:dyDescent="0.15">
      <c r="C1611" s="7"/>
      <c r="D1611" s="7"/>
      <c r="E1611" s="7"/>
      <c r="F1611" s="9"/>
      <c r="H1611" s="10"/>
      <c r="I1611" s="10"/>
      <c r="J1611" s="10"/>
      <c r="K1611" s="10"/>
      <c r="L1611" s="10"/>
      <c r="M1611" s="10"/>
      <c r="N1611" s="10"/>
      <c r="O1611" s="7"/>
      <c r="P1611" s="7"/>
      <c r="Q1611" s="7"/>
      <c r="AB1611" s="7"/>
    </row>
    <row r="1612" spans="3:28" ht="13" x14ac:dyDescent="0.15">
      <c r="C1612" s="7"/>
      <c r="D1612" s="7"/>
      <c r="E1612" s="7"/>
      <c r="F1612" s="9"/>
      <c r="H1612" s="10"/>
      <c r="I1612" s="10"/>
      <c r="J1612" s="10"/>
      <c r="K1612" s="10"/>
      <c r="L1612" s="10"/>
      <c r="M1612" s="10"/>
      <c r="N1612" s="10"/>
      <c r="O1612" s="7"/>
      <c r="P1612" s="7"/>
      <c r="Q1612" s="7"/>
      <c r="AB1612" s="7"/>
    </row>
    <row r="1613" spans="3:28" ht="13" x14ac:dyDescent="0.15">
      <c r="C1613" s="7"/>
      <c r="D1613" s="7"/>
      <c r="E1613" s="7"/>
      <c r="F1613" s="9"/>
      <c r="H1613" s="10"/>
      <c r="I1613" s="10"/>
      <c r="J1613" s="10"/>
      <c r="K1613" s="10"/>
      <c r="L1613" s="10"/>
      <c r="M1613" s="10"/>
      <c r="N1613" s="10"/>
      <c r="O1613" s="7"/>
      <c r="P1613" s="7"/>
      <c r="Q1613" s="7"/>
      <c r="AB1613" s="7"/>
    </row>
    <row r="1614" spans="3:28" ht="13" x14ac:dyDescent="0.15">
      <c r="C1614" s="7"/>
      <c r="D1614" s="7"/>
      <c r="E1614" s="7"/>
      <c r="F1614" s="9"/>
      <c r="H1614" s="10"/>
      <c r="I1614" s="10"/>
      <c r="J1614" s="10"/>
      <c r="K1614" s="10"/>
      <c r="L1614" s="10"/>
      <c r="M1614" s="10"/>
      <c r="N1614" s="10"/>
      <c r="O1614" s="7"/>
      <c r="P1614" s="7"/>
      <c r="Q1614" s="7"/>
      <c r="AB1614" s="7"/>
    </row>
    <row r="1615" spans="3:28" ht="13" x14ac:dyDescent="0.15">
      <c r="C1615" s="7"/>
      <c r="D1615" s="7"/>
      <c r="E1615" s="7"/>
      <c r="F1615" s="9"/>
      <c r="H1615" s="10"/>
      <c r="I1615" s="10"/>
      <c r="J1615" s="10"/>
      <c r="K1615" s="10"/>
      <c r="L1615" s="10"/>
      <c r="M1615" s="10"/>
      <c r="N1615" s="10"/>
      <c r="O1615" s="7"/>
      <c r="P1615" s="7"/>
      <c r="Q1615" s="7"/>
      <c r="AB1615" s="7"/>
    </row>
    <row r="1616" spans="3:28" ht="13" x14ac:dyDescent="0.15">
      <c r="C1616" s="7"/>
      <c r="D1616" s="7"/>
      <c r="E1616" s="7"/>
      <c r="F1616" s="9"/>
      <c r="H1616" s="10"/>
      <c r="I1616" s="10"/>
      <c r="J1616" s="10"/>
      <c r="K1616" s="10"/>
      <c r="L1616" s="10"/>
      <c r="M1616" s="10"/>
      <c r="N1616" s="10"/>
      <c r="O1616" s="7"/>
      <c r="P1616" s="7"/>
      <c r="Q1616" s="7"/>
      <c r="AB1616" s="7"/>
    </row>
    <row r="1617" spans="3:28" ht="13" x14ac:dyDescent="0.15">
      <c r="C1617" s="7"/>
      <c r="D1617" s="7"/>
      <c r="E1617" s="7"/>
      <c r="F1617" s="9"/>
      <c r="H1617" s="10"/>
      <c r="I1617" s="10"/>
      <c r="J1617" s="10"/>
      <c r="K1617" s="10"/>
      <c r="L1617" s="10"/>
      <c r="M1617" s="10"/>
      <c r="N1617" s="10"/>
      <c r="O1617" s="7"/>
      <c r="P1617" s="7"/>
      <c r="Q1617" s="7"/>
      <c r="AB1617" s="7"/>
    </row>
    <row r="1618" spans="3:28" ht="13" x14ac:dyDescent="0.15">
      <c r="C1618" s="7"/>
      <c r="D1618" s="7"/>
      <c r="E1618" s="7"/>
      <c r="F1618" s="9"/>
      <c r="H1618" s="10"/>
      <c r="I1618" s="10"/>
      <c r="J1618" s="10"/>
      <c r="K1618" s="10"/>
      <c r="L1618" s="10"/>
      <c r="M1618" s="10"/>
      <c r="N1618" s="10"/>
      <c r="O1618" s="7"/>
      <c r="P1618" s="7"/>
      <c r="Q1618" s="7"/>
      <c r="AB1618" s="7"/>
    </row>
    <row r="1619" spans="3:28" ht="13" x14ac:dyDescent="0.15">
      <c r="C1619" s="7"/>
      <c r="D1619" s="7"/>
      <c r="E1619" s="7"/>
      <c r="F1619" s="9"/>
      <c r="H1619" s="10"/>
      <c r="I1619" s="10"/>
      <c r="J1619" s="10"/>
      <c r="K1619" s="10"/>
      <c r="L1619" s="10"/>
      <c r="M1619" s="10"/>
      <c r="N1619" s="10"/>
      <c r="O1619" s="7"/>
      <c r="P1619" s="7"/>
      <c r="Q1619" s="7"/>
      <c r="AB1619" s="7"/>
    </row>
    <row r="1620" spans="3:28" ht="13" x14ac:dyDescent="0.15">
      <c r="C1620" s="7"/>
      <c r="D1620" s="7"/>
      <c r="E1620" s="7"/>
      <c r="F1620" s="9"/>
      <c r="H1620" s="10"/>
      <c r="I1620" s="10"/>
      <c r="J1620" s="10"/>
      <c r="K1620" s="10"/>
      <c r="L1620" s="10"/>
      <c r="M1620" s="10"/>
      <c r="N1620" s="10"/>
      <c r="O1620" s="7"/>
      <c r="P1620" s="7"/>
      <c r="Q1620" s="7"/>
      <c r="AB1620" s="7"/>
    </row>
    <row r="1621" spans="3:28" ht="13" x14ac:dyDescent="0.15">
      <c r="C1621" s="7"/>
      <c r="D1621" s="7"/>
      <c r="E1621" s="7"/>
      <c r="F1621" s="9"/>
      <c r="H1621" s="10"/>
      <c r="I1621" s="10"/>
      <c r="J1621" s="10"/>
      <c r="K1621" s="10"/>
      <c r="L1621" s="10"/>
      <c r="M1621" s="10"/>
      <c r="N1621" s="10"/>
      <c r="O1621" s="7"/>
      <c r="P1621" s="7"/>
      <c r="Q1621" s="7"/>
      <c r="AB1621" s="7"/>
    </row>
    <row r="1622" spans="3:28" ht="13" x14ac:dyDescent="0.15">
      <c r="C1622" s="7"/>
      <c r="D1622" s="7"/>
      <c r="E1622" s="7"/>
      <c r="F1622" s="9"/>
      <c r="H1622" s="10"/>
      <c r="I1622" s="10"/>
      <c r="J1622" s="10"/>
      <c r="K1622" s="10"/>
      <c r="L1622" s="10"/>
      <c r="M1622" s="10"/>
      <c r="N1622" s="10"/>
      <c r="O1622" s="7"/>
      <c r="P1622" s="7"/>
      <c r="Q1622" s="7"/>
      <c r="AB1622" s="7"/>
    </row>
    <row r="1623" spans="3:28" ht="13" x14ac:dyDescent="0.15">
      <c r="C1623" s="7"/>
      <c r="D1623" s="7"/>
      <c r="E1623" s="7"/>
      <c r="F1623" s="9"/>
      <c r="H1623" s="10"/>
      <c r="I1623" s="10"/>
      <c r="J1623" s="10"/>
      <c r="K1623" s="10"/>
      <c r="L1623" s="10"/>
      <c r="M1623" s="10"/>
      <c r="N1623" s="10"/>
      <c r="O1623" s="7"/>
      <c r="P1623" s="7"/>
      <c r="Q1623" s="7"/>
      <c r="AB1623" s="7"/>
    </row>
    <row r="1624" spans="3:28" ht="13" x14ac:dyDescent="0.15">
      <c r="C1624" s="7"/>
      <c r="D1624" s="7"/>
      <c r="E1624" s="7"/>
      <c r="F1624" s="9"/>
      <c r="H1624" s="10"/>
      <c r="I1624" s="10"/>
      <c r="J1624" s="10"/>
      <c r="K1624" s="10"/>
      <c r="L1624" s="10"/>
      <c r="M1624" s="10"/>
      <c r="N1624" s="10"/>
      <c r="O1624" s="7"/>
      <c r="P1624" s="7"/>
      <c r="Q1624" s="7"/>
      <c r="AB1624" s="7"/>
    </row>
    <row r="1625" spans="3:28" ht="13" x14ac:dyDescent="0.15">
      <c r="C1625" s="7"/>
      <c r="D1625" s="7"/>
      <c r="E1625" s="7"/>
      <c r="F1625" s="9"/>
      <c r="H1625" s="10"/>
      <c r="I1625" s="10"/>
      <c r="J1625" s="10"/>
      <c r="K1625" s="10"/>
      <c r="L1625" s="10"/>
      <c r="M1625" s="10"/>
      <c r="N1625" s="10"/>
      <c r="O1625" s="7"/>
      <c r="P1625" s="7"/>
      <c r="Q1625" s="7"/>
      <c r="AB1625" s="7"/>
    </row>
    <row r="1626" spans="3:28" ht="13" x14ac:dyDescent="0.15">
      <c r="C1626" s="7"/>
      <c r="D1626" s="7"/>
      <c r="E1626" s="7"/>
      <c r="F1626" s="9"/>
      <c r="H1626" s="10"/>
      <c r="I1626" s="10"/>
      <c r="J1626" s="10"/>
      <c r="K1626" s="10"/>
      <c r="L1626" s="10"/>
      <c r="M1626" s="10"/>
      <c r="N1626" s="10"/>
      <c r="O1626" s="7"/>
      <c r="P1626" s="7"/>
      <c r="Q1626" s="7"/>
      <c r="AB1626" s="7"/>
    </row>
    <row r="1627" spans="3:28" ht="13" x14ac:dyDescent="0.15">
      <c r="C1627" s="7"/>
      <c r="D1627" s="7"/>
      <c r="E1627" s="7"/>
      <c r="F1627" s="9"/>
      <c r="H1627" s="10"/>
      <c r="I1627" s="10"/>
      <c r="J1627" s="10"/>
      <c r="K1627" s="10"/>
      <c r="L1627" s="10"/>
      <c r="M1627" s="10"/>
      <c r="N1627" s="10"/>
      <c r="O1627" s="7"/>
      <c r="P1627" s="7"/>
      <c r="Q1627" s="7"/>
      <c r="AB1627" s="7"/>
    </row>
    <row r="1628" spans="3:28" ht="13" x14ac:dyDescent="0.15">
      <c r="C1628" s="7"/>
      <c r="D1628" s="7"/>
      <c r="E1628" s="7"/>
      <c r="F1628" s="9"/>
      <c r="H1628" s="10"/>
      <c r="I1628" s="10"/>
      <c r="J1628" s="10"/>
      <c r="K1628" s="10"/>
      <c r="L1628" s="10"/>
      <c r="M1628" s="10"/>
      <c r="N1628" s="10"/>
      <c r="O1628" s="7"/>
      <c r="P1628" s="7"/>
      <c r="Q1628" s="7"/>
      <c r="AB1628" s="7"/>
    </row>
    <row r="1629" spans="3:28" ht="13" x14ac:dyDescent="0.15">
      <c r="C1629" s="7"/>
      <c r="D1629" s="7"/>
      <c r="E1629" s="7"/>
      <c r="F1629" s="9"/>
      <c r="H1629" s="10"/>
      <c r="I1629" s="10"/>
      <c r="J1629" s="10"/>
      <c r="K1629" s="10"/>
      <c r="L1629" s="10"/>
      <c r="M1629" s="10"/>
      <c r="N1629" s="10"/>
      <c r="O1629" s="7"/>
      <c r="P1629" s="7"/>
      <c r="Q1629" s="7"/>
      <c r="AB1629" s="7"/>
    </row>
    <row r="1630" spans="3:28" ht="13" x14ac:dyDescent="0.15">
      <c r="C1630" s="7"/>
      <c r="D1630" s="7"/>
      <c r="E1630" s="7"/>
      <c r="F1630" s="9"/>
      <c r="H1630" s="10"/>
      <c r="I1630" s="10"/>
      <c r="J1630" s="10"/>
      <c r="K1630" s="10"/>
      <c r="L1630" s="10"/>
      <c r="M1630" s="10"/>
      <c r="N1630" s="10"/>
      <c r="O1630" s="7"/>
      <c r="P1630" s="7"/>
      <c r="Q1630" s="7"/>
      <c r="AB1630" s="7"/>
    </row>
    <row r="1631" spans="3:28" ht="13" x14ac:dyDescent="0.15">
      <c r="C1631" s="7"/>
      <c r="D1631" s="7"/>
      <c r="E1631" s="7"/>
      <c r="F1631" s="9"/>
      <c r="H1631" s="10"/>
      <c r="I1631" s="10"/>
      <c r="J1631" s="10"/>
      <c r="K1631" s="10"/>
      <c r="L1631" s="10"/>
      <c r="M1631" s="10"/>
      <c r="N1631" s="10"/>
      <c r="O1631" s="7"/>
      <c r="P1631" s="7"/>
      <c r="Q1631" s="7"/>
      <c r="AB1631" s="7"/>
    </row>
    <row r="1632" spans="3:28" ht="13" x14ac:dyDescent="0.15">
      <c r="C1632" s="7"/>
      <c r="D1632" s="7"/>
      <c r="E1632" s="7"/>
      <c r="F1632" s="9"/>
      <c r="H1632" s="10"/>
      <c r="I1632" s="10"/>
      <c r="J1632" s="10"/>
      <c r="K1632" s="10"/>
      <c r="L1632" s="10"/>
      <c r="M1632" s="10"/>
      <c r="N1632" s="10"/>
      <c r="O1632" s="7"/>
      <c r="P1632" s="7"/>
      <c r="Q1632" s="7"/>
      <c r="AB1632" s="7"/>
    </row>
    <row r="1633" spans="3:28" ht="13" x14ac:dyDescent="0.15">
      <c r="C1633" s="7"/>
      <c r="D1633" s="7"/>
      <c r="E1633" s="7"/>
      <c r="F1633" s="9"/>
      <c r="H1633" s="10"/>
      <c r="I1633" s="10"/>
      <c r="J1633" s="10"/>
      <c r="K1633" s="10"/>
      <c r="L1633" s="10"/>
      <c r="M1633" s="10"/>
      <c r="N1633" s="10"/>
      <c r="O1633" s="7"/>
      <c r="P1633" s="7"/>
      <c r="Q1633" s="7"/>
      <c r="AB1633" s="7"/>
    </row>
    <row r="1634" spans="3:28" ht="13" x14ac:dyDescent="0.15">
      <c r="C1634" s="7"/>
      <c r="D1634" s="7"/>
      <c r="E1634" s="7"/>
      <c r="F1634" s="9"/>
      <c r="H1634" s="10"/>
      <c r="I1634" s="10"/>
      <c r="J1634" s="10"/>
      <c r="K1634" s="10"/>
      <c r="L1634" s="10"/>
      <c r="M1634" s="10"/>
      <c r="N1634" s="10"/>
      <c r="O1634" s="7"/>
      <c r="P1634" s="7"/>
      <c r="Q1634" s="7"/>
      <c r="AB1634" s="7"/>
    </row>
    <row r="1635" spans="3:28" ht="13" x14ac:dyDescent="0.15">
      <c r="C1635" s="7"/>
      <c r="D1635" s="7"/>
      <c r="E1635" s="7"/>
      <c r="F1635" s="9"/>
      <c r="H1635" s="10"/>
      <c r="I1635" s="10"/>
      <c r="J1635" s="10"/>
      <c r="K1635" s="10"/>
      <c r="L1635" s="10"/>
      <c r="M1635" s="10"/>
      <c r="N1635" s="10"/>
      <c r="O1635" s="7"/>
      <c r="P1635" s="7"/>
      <c r="Q1635" s="7"/>
      <c r="AB1635" s="7"/>
    </row>
    <row r="1636" spans="3:28" ht="13" x14ac:dyDescent="0.15">
      <c r="C1636" s="7"/>
      <c r="D1636" s="7"/>
      <c r="E1636" s="7"/>
      <c r="F1636" s="9"/>
      <c r="H1636" s="10"/>
      <c r="I1636" s="10"/>
      <c r="J1636" s="10"/>
      <c r="K1636" s="10"/>
      <c r="L1636" s="10"/>
      <c r="M1636" s="10"/>
      <c r="N1636" s="10"/>
      <c r="O1636" s="7"/>
      <c r="P1636" s="7"/>
      <c r="Q1636" s="7"/>
      <c r="AB1636" s="7"/>
    </row>
    <row r="1637" spans="3:28" ht="13" x14ac:dyDescent="0.15">
      <c r="C1637" s="7"/>
      <c r="D1637" s="7"/>
      <c r="E1637" s="7"/>
      <c r="F1637" s="9"/>
      <c r="H1637" s="10"/>
      <c r="I1637" s="10"/>
      <c r="J1637" s="10"/>
      <c r="K1637" s="10"/>
      <c r="L1637" s="10"/>
      <c r="M1637" s="10"/>
      <c r="N1637" s="10"/>
      <c r="O1637" s="7"/>
      <c r="P1637" s="7"/>
      <c r="Q1637" s="7"/>
      <c r="AB1637" s="7"/>
    </row>
    <row r="1638" spans="3:28" ht="13" x14ac:dyDescent="0.15">
      <c r="C1638" s="7"/>
      <c r="D1638" s="7"/>
      <c r="E1638" s="7"/>
      <c r="F1638" s="9"/>
      <c r="H1638" s="10"/>
      <c r="I1638" s="10"/>
      <c r="J1638" s="10"/>
      <c r="K1638" s="10"/>
      <c r="L1638" s="10"/>
      <c r="M1638" s="10"/>
      <c r="N1638" s="10"/>
      <c r="O1638" s="7"/>
      <c r="P1638" s="7"/>
      <c r="Q1638" s="7"/>
      <c r="AB1638" s="7"/>
    </row>
    <row r="1639" spans="3:28" ht="13" x14ac:dyDescent="0.15">
      <c r="C1639" s="7"/>
      <c r="D1639" s="7"/>
      <c r="E1639" s="7"/>
      <c r="F1639" s="9"/>
      <c r="H1639" s="10"/>
      <c r="I1639" s="10"/>
      <c r="J1639" s="10"/>
      <c r="K1639" s="10"/>
      <c r="L1639" s="10"/>
      <c r="M1639" s="10"/>
      <c r="N1639" s="10"/>
      <c r="O1639" s="7"/>
      <c r="P1639" s="7"/>
      <c r="Q1639" s="7"/>
      <c r="AB1639" s="7"/>
    </row>
    <row r="1640" spans="3:28" ht="13" x14ac:dyDescent="0.15">
      <c r="C1640" s="7"/>
      <c r="D1640" s="7"/>
      <c r="E1640" s="7"/>
      <c r="F1640" s="9"/>
      <c r="H1640" s="10"/>
      <c r="I1640" s="10"/>
      <c r="J1640" s="10"/>
      <c r="K1640" s="10"/>
      <c r="L1640" s="10"/>
      <c r="M1640" s="10"/>
      <c r="N1640" s="10"/>
      <c r="O1640" s="7"/>
      <c r="P1640" s="7"/>
      <c r="Q1640" s="7"/>
      <c r="AB1640" s="7"/>
    </row>
    <row r="1641" spans="3:28" ht="13" x14ac:dyDescent="0.15">
      <c r="C1641" s="7"/>
      <c r="D1641" s="7"/>
      <c r="E1641" s="7"/>
      <c r="F1641" s="9"/>
      <c r="H1641" s="10"/>
      <c r="I1641" s="10"/>
      <c r="J1641" s="10"/>
      <c r="K1641" s="10"/>
      <c r="L1641" s="10"/>
      <c r="M1641" s="10"/>
      <c r="N1641" s="10"/>
      <c r="O1641" s="7"/>
      <c r="P1641" s="7"/>
      <c r="Q1641" s="7"/>
      <c r="AB1641" s="7"/>
    </row>
    <row r="1642" spans="3:28" ht="13" x14ac:dyDescent="0.15">
      <c r="C1642" s="7"/>
      <c r="D1642" s="7"/>
      <c r="E1642" s="7"/>
      <c r="F1642" s="9"/>
      <c r="H1642" s="10"/>
      <c r="I1642" s="10"/>
      <c r="J1642" s="10"/>
      <c r="K1642" s="10"/>
      <c r="L1642" s="10"/>
      <c r="M1642" s="10"/>
      <c r="N1642" s="10"/>
      <c r="O1642" s="7"/>
      <c r="P1642" s="7"/>
      <c r="Q1642" s="7"/>
      <c r="AB1642" s="7"/>
    </row>
    <row r="1643" spans="3:28" ht="13" x14ac:dyDescent="0.15">
      <c r="C1643" s="7"/>
      <c r="D1643" s="7"/>
      <c r="E1643" s="7"/>
      <c r="F1643" s="9"/>
      <c r="H1643" s="10"/>
      <c r="I1643" s="10"/>
      <c r="J1643" s="10"/>
      <c r="K1643" s="10"/>
      <c r="L1643" s="10"/>
      <c r="M1643" s="10"/>
      <c r="N1643" s="10"/>
      <c r="O1643" s="7"/>
      <c r="P1643" s="7"/>
      <c r="Q1643" s="7"/>
      <c r="AB1643" s="7"/>
    </row>
    <row r="1644" spans="3:28" ht="13" x14ac:dyDescent="0.15">
      <c r="C1644" s="7"/>
      <c r="D1644" s="7"/>
      <c r="E1644" s="7"/>
      <c r="F1644" s="9"/>
      <c r="H1644" s="10"/>
      <c r="I1644" s="10"/>
      <c r="J1644" s="10"/>
      <c r="K1644" s="10"/>
      <c r="L1644" s="10"/>
      <c r="M1644" s="10"/>
      <c r="N1644" s="10"/>
      <c r="O1644" s="7"/>
      <c r="P1644" s="7"/>
      <c r="Q1644" s="7"/>
      <c r="AB1644" s="7"/>
    </row>
    <row r="1645" spans="3:28" ht="13" x14ac:dyDescent="0.15">
      <c r="C1645" s="7"/>
      <c r="D1645" s="7"/>
      <c r="E1645" s="7"/>
      <c r="F1645" s="9"/>
      <c r="H1645" s="10"/>
      <c r="I1645" s="10"/>
      <c r="J1645" s="10"/>
      <c r="K1645" s="10"/>
      <c r="L1645" s="10"/>
      <c r="M1645" s="10"/>
      <c r="N1645" s="10"/>
      <c r="O1645" s="7"/>
      <c r="P1645" s="7"/>
      <c r="Q1645" s="7"/>
      <c r="AB1645" s="7"/>
    </row>
    <row r="1646" spans="3:28" ht="13" x14ac:dyDescent="0.15">
      <c r="C1646" s="7"/>
      <c r="D1646" s="7"/>
      <c r="E1646" s="7"/>
      <c r="F1646" s="9"/>
      <c r="H1646" s="10"/>
      <c r="I1646" s="10"/>
      <c r="J1646" s="10"/>
      <c r="K1646" s="10"/>
      <c r="L1646" s="10"/>
      <c r="M1646" s="10"/>
      <c r="N1646" s="10"/>
      <c r="O1646" s="7"/>
      <c r="P1646" s="7"/>
      <c r="Q1646" s="7"/>
      <c r="AB1646" s="7"/>
    </row>
    <row r="1647" spans="3:28" ht="13" x14ac:dyDescent="0.15">
      <c r="C1647" s="7"/>
      <c r="D1647" s="7"/>
      <c r="E1647" s="7"/>
      <c r="F1647" s="9"/>
      <c r="H1647" s="10"/>
      <c r="I1647" s="10"/>
      <c r="J1647" s="10"/>
      <c r="K1647" s="10"/>
      <c r="L1647" s="10"/>
      <c r="M1647" s="10"/>
      <c r="N1647" s="10"/>
      <c r="O1647" s="7"/>
      <c r="P1647" s="7"/>
      <c r="Q1647" s="7"/>
      <c r="AB1647" s="7"/>
    </row>
    <row r="1648" spans="3:28" ht="13" x14ac:dyDescent="0.15">
      <c r="C1648" s="7"/>
      <c r="D1648" s="7"/>
      <c r="E1648" s="7"/>
      <c r="F1648" s="9"/>
      <c r="H1648" s="10"/>
      <c r="I1648" s="10"/>
      <c r="J1648" s="10"/>
      <c r="K1648" s="10"/>
      <c r="L1648" s="10"/>
      <c r="M1648" s="10"/>
      <c r="N1648" s="10"/>
      <c r="O1648" s="7"/>
      <c r="P1648" s="7"/>
      <c r="Q1648" s="7"/>
      <c r="AB1648" s="7"/>
    </row>
    <row r="1649" spans="3:28" ht="13" x14ac:dyDescent="0.15">
      <c r="C1649" s="7"/>
      <c r="D1649" s="7"/>
      <c r="E1649" s="7"/>
      <c r="F1649" s="9"/>
      <c r="H1649" s="10"/>
      <c r="I1649" s="10"/>
      <c r="J1649" s="10"/>
      <c r="K1649" s="10"/>
      <c r="L1649" s="10"/>
      <c r="M1649" s="10"/>
      <c r="N1649" s="10"/>
      <c r="O1649" s="7"/>
      <c r="P1649" s="7"/>
      <c r="Q1649" s="7"/>
      <c r="AB1649" s="7"/>
    </row>
    <row r="1650" spans="3:28" ht="13" x14ac:dyDescent="0.15">
      <c r="C1650" s="7"/>
      <c r="D1650" s="7"/>
      <c r="E1650" s="7"/>
      <c r="F1650" s="9"/>
      <c r="H1650" s="10"/>
      <c r="I1650" s="10"/>
      <c r="J1650" s="10"/>
      <c r="K1650" s="10"/>
      <c r="L1650" s="10"/>
      <c r="M1650" s="10"/>
      <c r="N1650" s="10"/>
      <c r="O1650" s="7"/>
      <c r="P1650" s="7"/>
      <c r="Q1650" s="7"/>
      <c r="AB1650" s="7"/>
    </row>
    <row r="1651" spans="3:28" ht="13" x14ac:dyDescent="0.15">
      <c r="C1651" s="7"/>
      <c r="D1651" s="7"/>
      <c r="E1651" s="7"/>
      <c r="F1651" s="9"/>
      <c r="H1651" s="10"/>
      <c r="I1651" s="10"/>
      <c r="J1651" s="10"/>
      <c r="K1651" s="10"/>
      <c r="L1651" s="10"/>
      <c r="M1651" s="10"/>
      <c r="N1651" s="10"/>
      <c r="O1651" s="7"/>
      <c r="P1651" s="7"/>
      <c r="Q1651" s="7"/>
      <c r="AB1651" s="7"/>
    </row>
    <row r="1652" spans="3:28" ht="13" x14ac:dyDescent="0.15">
      <c r="C1652" s="7"/>
      <c r="D1652" s="7"/>
      <c r="E1652" s="7"/>
      <c r="F1652" s="9"/>
      <c r="H1652" s="10"/>
      <c r="I1652" s="10"/>
      <c r="J1652" s="10"/>
      <c r="K1652" s="10"/>
      <c r="L1652" s="10"/>
      <c r="M1652" s="10"/>
      <c r="N1652" s="10"/>
      <c r="O1652" s="7"/>
      <c r="P1652" s="7"/>
      <c r="Q1652" s="7"/>
      <c r="AB1652" s="7"/>
    </row>
    <row r="1653" spans="3:28" ht="13" x14ac:dyDescent="0.15">
      <c r="C1653" s="7"/>
      <c r="D1653" s="7"/>
      <c r="E1653" s="7"/>
      <c r="F1653" s="9"/>
      <c r="H1653" s="10"/>
      <c r="I1653" s="10"/>
      <c r="J1653" s="10"/>
      <c r="K1653" s="10"/>
      <c r="L1653" s="10"/>
      <c r="M1653" s="10"/>
      <c r="N1653" s="10"/>
      <c r="O1653" s="7"/>
      <c r="P1653" s="7"/>
      <c r="Q1653" s="7"/>
      <c r="AB1653" s="7"/>
    </row>
    <row r="1654" spans="3:28" ht="13" x14ac:dyDescent="0.15">
      <c r="C1654" s="7"/>
      <c r="D1654" s="7"/>
      <c r="E1654" s="7"/>
      <c r="F1654" s="9"/>
      <c r="H1654" s="10"/>
      <c r="I1654" s="10"/>
      <c r="J1654" s="10"/>
      <c r="K1654" s="10"/>
      <c r="L1654" s="10"/>
      <c r="M1654" s="10"/>
      <c r="N1654" s="10"/>
      <c r="O1654" s="7"/>
      <c r="P1654" s="7"/>
      <c r="Q1654" s="7"/>
      <c r="AB1654" s="7"/>
    </row>
    <row r="1655" spans="3:28" ht="13" x14ac:dyDescent="0.15">
      <c r="C1655" s="7"/>
      <c r="D1655" s="7"/>
      <c r="E1655" s="7"/>
      <c r="F1655" s="9"/>
      <c r="H1655" s="10"/>
      <c r="I1655" s="10"/>
      <c r="J1655" s="10"/>
      <c r="K1655" s="10"/>
      <c r="L1655" s="10"/>
      <c r="M1655" s="10"/>
      <c r="N1655" s="10"/>
      <c r="O1655" s="7"/>
      <c r="P1655" s="7"/>
      <c r="Q1655" s="7"/>
      <c r="AB1655" s="7"/>
    </row>
    <row r="1656" spans="3:28" ht="13" x14ac:dyDescent="0.15">
      <c r="C1656" s="7"/>
      <c r="D1656" s="7"/>
      <c r="E1656" s="7"/>
      <c r="F1656" s="9"/>
      <c r="H1656" s="10"/>
      <c r="I1656" s="10"/>
      <c r="J1656" s="10"/>
      <c r="K1656" s="10"/>
      <c r="L1656" s="10"/>
      <c r="M1656" s="10"/>
      <c r="N1656" s="10"/>
      <c r="O1656" s="7"/>
      <c r="P1656" s="7"/>
      <c r="Q1656" s="7"/>
      <c r="AB1656" s="7"/>
    </row>
    <row r="1657" spans="3:28" ht="13" x14ac:dyDescent="0.15">
      <c r="C1657" s="7"/>
      <c r="D1657" s="7"/>
      <c r="E1657" s="7"/>
      <c r="F1657" s="9"/>
      <c r="H1657" s="10"/>
      <c r="I1657" s="10"/>
      <c r="J1657" s="10"/>
      <c r="K1657" s="10"/>
      <c r="L1657" s="10"/>
      <c r="M1657" s="10"/>
      <c r="N1657" s="10"/>
      <c r="O1657" s="7"/>
      <c r="P1657" s="7"/>
      <c r="Q1657" s="7"/>
      <c r="AB1657" s="7"/>
    </row>
    <row r="1658" spans="3:28" ht="13" x14ac:dyDescent="0.15">
      <c r="C1658" s="7"/>
      <c r="D1658" s="7"/>
      <c r="E1658" s="7"/>
      <c r="F1658" s="9"/>
      <c r="H1658" s="10"/>
      <c r="I1658" s="10"/>
      <c r="J1658" s="10"/>
      <c r="K1658" s="10"/>
      <c r="L1658" s="10"/>
      <c r="M1658" s="10"/>
      <c r="N1658" s="10"/>
      <c r="O1658" s="7"/>
      <c r="P1658" s="7"/>
      <c r="Q1658" s="7"/>
      <c r="AB1658" s="7"/>
    </row>
    <row r="1659" spans="3:28" ht="13" x14ac:dyDescent="0.15">
      <c r="C1659" s="7"/>
      <c r="D1659" s="7"/>
      <c r="E1659" s="7"/>
      <c r="F1659" s="9"/>
      <c r="H1659" s="10"/>
      <c r="I1659" s="10"/>
      <c r="J1659" s="10"/>
      <c r="K1659" s="10"/>
      <c r="L1659" s="10"/>
      <c r="M1659" s="10"/>
      <c r="N1659" s="10"/>
      <c r="O1659" s="7"/>
      <c r="P1659" s="7"/>
      <c r="Q1659" s="7"/>
      <c r="AB1659" s="7"/>
    </row>
    <row r="1660" spans="3:28" ht="13" x14ac:dyDescent="0.15">
      <c r="C1660" s="7"/>
      <c r="D1660" s="7"/>
      <c r="E1660" s="7"/>
      <c r="F1660" s="9"/>
      <c r="H1660" s="10"/>
      <c r="I1660" s="10"/>
      <c r="J1660" s="10"/>
      <c r="K1660" s="10"/>
      <c r="L1660" s="10"/>
      <c r="M1660" s="10"/>
      <c r="N1660" s="10"/>
      <c r="O1660" s="7"/>
      <c r="P1660" s="7"/>
      <c r="Q1660" s="7"/>
      <c r="AB1660" s="7"/>
    </row>
    <row r="1661" spans="3:28" ht="13" x14ac:dyDescent="0.15">
      <c r="C1661" s="7"/>
      <c r="D1661" s="7"/>
      <c r="E1661" s="7"/>
      <c r="F1661" s="9"/>
      <c r="H1661" s="10"/>
      <c r="I1661" s="10"/>
      <c r="J1661" s="10"/>
      <c r="K1661" s="10"/>
      <c r="L1661" s="10"/>
      <c r="M1661" s="10"/>
      <c r="N1661" s="10"/>
      <c r="O1661" s="7"/>
      <c r="P1661" s="7"/>
      <c r="Q1661" s="7"/>
      <c r="AB1661" s="7"/>
    </row>
    <row r="1662" spans="3:28" ht="13" x14ac:dyDescent="0.15">
      <c r="C1662" s="7"/>
      <c r="D1662" s="7"/>
      <c r="E1662" s="7"/>
      <c r="F1662" s="9"/>
      <c r="H1662" s="10"/>
      <c r="I1662" s="10"/>
      <c r="J1662" s="10"/>
      <c r="K1662" s="10"/>
      <c r="L1662" s="10"/>
      <c r="M1662" s="10"/>
      <c r="N1662" s="10"/>
      <c r="O1662" s="7"/>
      <c r="P1662" s="7"/>
      <c r="Q1662" s="7"/>
      <c r="AB1662" s="7"/>
    </row>
    <row r="1663" spans="3:28" ht="13" x14ac:dyDescent="0.15">
      <c r="C1663" s="7"/>
      <c r="D1663" s="7"/>
      <c r="E1663" s="7"/>
      <c r="F1663" s="9"/>
      <c r="H1663" s="10"/>
      <c r="I1663" s="10"/>
      <c r="J1663" s="10"/>
      <c r="K1663" s="10"/>
      <c r="L1663" s="10"/>
      <c r="M1663" s="10"/>
      <c r="N1663" s="10"/>
      <c r="O1663" s="7"/>
      <c r="P1663" s="7"/>
      <c r="Q1663" s="7"/>
      <c r="AB1663" s="7"/>
    </row>
    <row r="1664" spans="3:28" ht="13" x14ac:dyDescent="0.15">
      <c r="C1664" s="7"/>
      <c r="D1664" s="7"/>
      <c r="E1664" s="7"/>
      <c r="F1664" s="9"/>
      <c r="H1664" s="10"/>
      <c r="I1664" s="10"/>
      <c r="J1664" s="10"/>
      <c r="K1664" s="10"/>
      <c r="L1664" s="10"/>
      <c r="M1664" s="10"/>
      <c r="N1664" s="10"/>
      <c r="O1664" s="7"/>
      <c r="P1664" s="7"/>
      <c r="Q1664" s="7"/>
      <c r="AB1664" s="7"/>
    </row>
    <row r="1665" spans="3:28" ht="13" x14ac:dyDescent="0.15">
      <c r="C1665" s="7"/>
      <c r="D1665" s="7"/>
      <c r="E1665" s="7"/>
      <c r="F1665" s="9"/>
      <c r="H1665" s="10"/>
      <c r="I1665" s="10"/>
      <c r="J1665" s="10"/>
      <c r="K1665" s="10"/>
      <c r="L1665" s="10"/>
      <c r="M1665" s="10"/>
      <c r="N1665" s="10"/>
      <c r="O1665" s="7"/>
      <c r="P1665" s="7"/>
      <c r="Q1665" s="7"/>
      <c r="AB1665" s="7"/>
    </row>
    <row r="1666" spans="3:28" ht="13" x14ac:dyDescent="0.15">
      <c r="C1666" s="7"/>
      <c r="D1666" s="7"/>
      <c r="E1666" s="7"/>
      <c r="F1666" s="9"/>
      <c r="H1666" s="10"/>
      <c r="I1666" s="10"/>
      <c r="J1666" s="10"/>
      <c r="K1666" s="10"/>
      <c r="L1666" s="10"/>
      <c r="M1666" s="10"/>
      <c r="N1666" s="10"/>
      <c r="O1666" s="7"/>
      <c r="P1666" s="7"/>
      <c r="Q1666" s="7"/>
      <c r="AB1666" s="7"/>
    </row>
    <row r="1667" spans="3:28" ht="13" x14ac:dyDescent="0.15">
      <c r="C1667" s="7"/>
      <c r="D1667" s="7"/>
      <c r="E1667" s="7"/>
      <c r="F1667" s="9"/>
      <c r="H1667" s="10"/>
      <c r="I1667" s="10"/>
      <c r="J1667" s="10"/>
      <c r="K1667" s="10"/>
      <c r="L1667" s="10"/>
      <c r="M1667" s="10"/>
      <c r="N1667" s="10"/>
      <c r="O1667" s="7"/>
      <c r="P1667" s="7"/>
      <c r="Q1667" s="7"/>
      <c r="AB1667" s="7"/>
    </row>
    <row r="1668" spans="3:28" ht="13" x14ac:dyDescent="0.15">
      <c r="C1668" s="7"/>
      <c r="D1668" s="7"/>
      <c r="E1668" s="7"/>
      <c r="F1668" s="9"/>
      <c r="H1668" s="10"/>
      <c r="I1668" s="10"/>
      <c r="J1668" s="10"/>
      <c r="K1668" s="10"/>
      <c r="L1668" s="10"/>
      <c r="M1668" s="10"/>
      <c r="N1668" s="10"/>
      <c r="O1668" s="7"/>
      <c r="P1668" s="7"/>
      <c r="Q1668" s="7"/>
      <c r="AB1668" s="7"/>
    </row>
    <row r="1669" spans="3:28" ht="13" x14ac:dyDescent="0.15">
      <c r="C1669" s="7"/>
      <c r="D1669" s="7"/>
      <c r="E1669" s="7"/>
      <c r="F1669" s="9"/>
      <c r="H1669" s="10"/>
      <c r="I1669" s="10"/>
      <c r="J1669" s="10"/>
      <c r="K1669" s="10"/>
      <c r="L1669" s="10"/>
      <c r="M1669" s="10"/>
      <c r="N1669" s="10"/>
      <c r="O1669" s="7"/>
      <c r="P1669" s="7"/>
      <c r="Q1669" s="7"/>
      <c r="AB1669" s="7"/>
    </row>
    <row r="1670" spans="3:28" ht="13" x14ac:dyDescent="0.15">
      <c r="C1670" s="7"/>
      <c r="D1670" s="7"/>
      <c r="E1670" s="7"/>
      <c r="F1670" s="9"/>
      <c r="H1670" s="10"/>
      <c r="I1670" s="10"/>
      <c r="J1670" s="10"/>
      <c r="K1670" s="10"/>
      <c r="L1670" s="10"/>
      <c r="M1670" s="10"/>
      <c r="N1670" s="10"/>
      <c r="O1670" s="7"/>
      <c r="P1670" s="7"/>
      <c r="Q1670" s="7"/>
      <c r="AB1670" s="7"/>
    </row>
    <row r="1671" spans="3:28" ht="13" x14ac:dyDescent="0.15">
      <c r="C1671" s="7"/>
      <c r="D1671" s="7"/>
      <c r="E1671" s="7"/>
      <c r="F1671" s="9"/>
      <c r="H1671" s="10"/>
      <c r="I1671" s="10"/>
      <c r="J1671" s="10"/>
      <c r="K1671" s="10"/>
      <c r="L1671" s="10"/>
      <c r="M1671" s="10"/>
      <c r="N1671" s="10"/>
      <c r="O1671" s="7"/>
      <c r="P1671" s="7"/>
      <c r="Q1671" s="7"/>
      <c r="AB1671" s="7"/>
    </row>
    <row r="1672" spans="3:28" ht="13" x14ac:dyDescent="0.15">
      <c r="C1672" s="7"/>
      <c r="D1672" s="7"/>
      <c r="E1672" s="7"/>
      <c r="F1672" s="9"/>
      <c r="H1672" s="10"/>
      <c r="I1672" s="10"/>
      <c r="J1672" s="10"/>
      <c r="K1672" s="10"/>
      <c r="L1672" s="10"/>
      <c r="M1672" s="10"/>
      <c r="N1672" s="10"/>
      <c r="O1672" s="7"/>
      <c r="P1672" s="7"/>
      <c r="Q1672" s="7"/>
      <c r="AB1672" s="7"/>
    </row>
    <row r="1673" spans="3:28" ht="13" x14ac:dyDescent="0.15">
      <c r="C1673" s="7"/>
      <c r="D1673" s="7"/>
      <c r="E1673" s="7"/>
      <c r="F1673" s="9"/>
      <c r="H1673" s="10"/>
      <c r="I1673" s="10"/>
      <c r="J1673" s="10"/>
      <c r="K1673" s="10"/>
      <c r="L1673" s="10"/>
      <c r="M1673" s="10"/>
      <c r="N1673" s="10"/>
      <c r="O1673" s="7"/>
      <c r="P1673" s="7"/>
      <c r="Q1673" s="7"/>
      <c r="AB1673" s="7"/>
    </row>
    <row r="1674" spans="3:28" ht="13" x14ac:dyDescent="0.15">
      <c r="C1674" s="7"/>
      <c r="D1674" s="7"/>
      <c r="E1674" s="7"/>
      <c r="F1674" s="9"/>
      <c r="H1674" s="10"/>
      <c r="I1674" s="10"/>
      <c r="J1674" s="10"/>
      <c r="K1674" s="10"/>
      <c r="L1674" s="10"/>
      <c r="M1674" s="10"/>
      <c r="N1674" s="10"/>
      <c r="O1674" s="7"/>
      <c r="P1674" s="7"/>
      <c r="Q1674" s="7"/>
      <c r="AB1674" s="7"/>
    </row>
    <row r="1675" spans="3:28" ht="13" x14ac:dyDescent="0.15">
      <c r="C1675" s="7"/>
      <c r="D1675" s="7"/>
      <c r="E1675" s="7"/>
      <c r="F1675" s="9"/>
      <c r="H1675" s="10"/>
      <c r="I1675" s="10"/>
      <c r="J1675" s="10"/>
      <c r="K1675" s="10"/>
      <c r="L1675" s="10"/>
      <c r="M1675" s="10"/>
      <c r="N1675" s="10"/>
      <c r="O1675" s="7"/>
      <c r="P1675" s="7"/>
      <c r="Q1675" s="7"/>
      <c r="AB1675" s="7"/>
    </row>
    <row r="1676" spans="3:28" ht="13" x14ac:dyDescent="0.15">
      <c r="C1676" s="7"/>
      <c r="D1676" s="7"/>
      <c r="E1676" s="7"/>
      <c r="F1676" s="9"/>
      <c r="H1676" s="10"/>
      <c r="I1676" s="10"/>
      <c r="J1676" s="10"/>
      <c r="K1676" s="10"/>
      <c r="L1676" s="10"/>
      <c r="M1676" s="10"/>
      <c r="N1676" s="10"/>
      <c r="O1676" s="7"/>
      <c r="P1676" s="7"/>
      <c r="Q1676" s="7"/>
      <c r="AB1676" s="7"/>
    </row>
    <row r="1677" spans="3:28" ht="13" x14ac:dyDescent="0.15">
      <c r="C1677" s="7"/>
      <c r="D1677" s="7"/>
      <c r="E1677" s="7"/>
      <c r="F1677" s="9"/>
      <c r="H1677" s="10"/>
      <c r="I1677" s="10"/>
      <c r="J1677" s="10"/>
      <c r="K1677" s="10"/>
      <c r="L1677" s="10"/>
      <c r="M1677" s="10"/>
      <c r="N1677" s="10"/>
      <c r="O1677" s="7"/>
      <c r="P1677" s="7"/>
      <c r="Q1677" s="7"/>
      <c r="AB1677" s="7"/>
    </row>
    <row r="1678" spans="3:28" ht="13" x14ac:dyDescent="0.15">
      <c r="C1678" s="7"/>
      <c r="D1678" s="7"/>
      <c r="E1678" s="7"/>
      <c r="F1678" s="9"/>
      <c r="H1678" s="10"/>
      <c r="I1678" s="10"/>
      <c r="J1678" s="10"/>
      <c r="K1678" s="10"/>
      <c r="L1678" s="10"/>
      <c r="M1678" s="10"/>
      <c r="N1678" s="10"/>
      <c r="O1678" s="7"/>
      <c r="P1678" s="7"/>
      <c r="Q1678" s="7"/>
      <c r="AB1678" s="7"/>
    </row>
    <row r="1679" spans="3:28" ht="13" x14ac:dyDescent="0.15">
      <c r="C1679" s="7"/>
      <c r="D1679" s="7"/>
      <c r="E1679" s="7"/>
      <c r="F1679" s="9"/>
      <c r="H1679" s="10"/>
      <c r="I1679" s="10"/>
      <c r="J1679" s="10"/>
      <c r="K1679" s="10"/>
      <c r="L1679" s="10"/>
      <c r="M1679" s="10"/>
      <c r="N1679" s="10"/>
      <c r="O1679" s="7"/>
      <c r="P1679" s="7"/>
      <c r="Q1679" s="7"/>
      <c r="AB1679" s="7"/>
    </row>
    <row r="1680" spans="3:28" ht="13" x14ac:dyDescent="0.15">
      <c r="C1680" s="7"/>
      <c r="D1680" s="7"/>
      <c r="E1680" s="7"/>
      <c r="F1680" s="9"/>
      <c r="H1680" s="10"/>
      <c r="I1680" s="10"/>
      <c r="J1680" s="10"/>
      <c r="K1680" s="10"/>
      <c r="L1680" s="10"/>
      <c r="M1680" s="10"/>
      <c r="N1680" s="10"/>
      <c r="O1680" s="7"/>
      <c r="P1680" s="7"/>
      <c r="Q1680" s="7"/>
      <c r="AB1680" s="7"/>
    </row>
    <row r="1681" spans="3:28" ht="13" x14ac:dyDescent="0.15">
      <c r="C1681" s="7"/>
      <c r="D1681" s="7"/>
      <c r="E1681" s="7"/>
      <c r="F1681" s="9"/>
      <c r="H1681" s="10"/>
      <c r="I1681" s="10"/>
      <c r="J1681" s="10"/>
      <c r="K1681" s="10"/>
      <c r="L1681" s="10"/>
      <c r="M1681" s="10"/>
      <c r="N1681" s="10"/>
      <c r="O1681" s="7"/>
      <c r="P1681" s="7"/>
      <c r="Q1681" s="7"/>
      <c r="AB1681" s="7"/>
    </row>
    <row r="1682" spans="3:28" ht="13" x14ac:dyDescent="0.15">
      <c r="C1682" s="7"/>
      <c r="D1682" s="7"/>
      <c r="E1682" s="7"/>
      <c r="F1682" s="9"/>
      <c r="H1682" s="10"/>
      <c r="I1682" s="10"/>
      <c r="J1682" s="10"/>
      <c r="K1682" s="10"/>
      <c r="L1682" s="10"/>
      <c r="M1682" s="10"/>
      <c r="N1682" s="10"/>
      <c r="O1682" s="7"/>
      <c r="P1682" s="7"/>
      <c r="Q1682" s="7"/>
      <c r="AB1682" s="7"/>
    </row>
    <row r="1683" spans="3:28" ht="13" x14ac:dyDescent="0.15">
      <c r="C1683" s="7"/>
      <c r="D1683" s="7"/>
      <c r="E1683" s="7"/>
      <c r="F1683" s="9"/>
      <c r="H1683" s="10"/>
      <c r="I1683" s="10"/>
      <c r="J1683" s="10"/>
      <c r="K1683" s="10"/>
      <c r="L1683" s="10"/>
      <c r="M1683" s="10"/>
      <c r="N1683" s="10"/>
      <c r="O1683" s="7"/>
      <c r="P1683" s="7"/>
      <c r="Q1683" s="7"/>
      <c r="AB1683" s="7"/>
    </row>
    <row r="1684" spans="3:28" ht="13" x14ac:dyDescent="0.15">
      <c r="C1684" s="7"/>
      <c r="D1684" s="7"/>
      <c r="E1684" s="7"/>
      <c r="F1684" s="9"/>
      <c r="H1684" s="10"/>
      <c r="I1684" s="10"/>
      <c r="J1684" s="10"/>
      <c r="K1684" s="10"/>
      <c r="L1684" s="10"/>
      <c r="M1684" s="10"/>
      <c r="N1684" s="10"/>
      <c r="O1684" s="7"/>
      <c r="P1684" s="7"/>
      <c r="Q1684" s="7"/>
      <c r="AB1684" s="7"/>
    </row>
    <row r="1685" spans="3:28" ht="13" x14ac:dyDescent="0.15">
      <c r="C1685" s="7"/>
      <c r="D1685" s="7"/>
      <c r="E1685" s="7"/>
      <c r="F1685" s="9"/>
      <c r="H1685" s="10"/>
      <c r="I1685" s="10"/>
      <c r="J1685" s="10"/>
      <c r="K1685" s="10"/>
      <c r="L1685" s="10"/>
      <c r="M1685" s="10"/>
      <c r="N1685" s="10"/>
      <c r="O1685" s="7"/>
      <c r="P1685" s="7"/>
      <c r="Q1685" s="7"/>
      <c r="AB1685" s="7"/>
    </row>
    <row r="1686" spans="3:28" ht="13" x14ac:dyDescent="0.15">
      <c r="C1686" s="7"/>
      <c r="D1686" s="7"/>
      <c r="E1686" s="7"/>
      <c r="F1686" s="9"/>
      <c r="H1686" s="10"/>
      <c r="I1686" s="10"/>
      <c r="J1686" s="10"/>
      <c r="K1686" s="10"/>
      <c r="L1686" s="10"/>
      <c r="M1686" s="10"/>
      <c r="N1686" s="10"/>
      <c r="O1686" s="7"/>
      <c r="P1686" s="7"/>
      <c r="Q1686" s="7"/>
      <c r="AB1686" s="7"/>
    </row>
    <row r="1687" spans="3:28" ht="13" x14ac:dyDescent="0.15">
      <c r="C1687" s="7"/>
      <c r="D1687" s="7"/>
      <c r="E1687" s="7"/>
      <c r="F1687" s="9"/>
      <c r="H1687" s="10"/>
      <c r="I1687" s="10"/>
      <c r="J1687" s="10"/>
      <c r="K1687" s="10"/>
      <c r="L1687" s="10"/>
      <c r="M1687" s="10"/>
      <c r="N1687" s="10"/>
      <c r="O1687" s="7"/>
      <c r="P1687" s="7"/>
      <c r="Q1687" s="7"/>
      <c r="AB1687" s="7"/>
    </row>
    <row r="1688" spans="3:28" ht="13" x14ac:dyDescent="0.15">
      <c r="C1688" s="7"/>
      <c r="D1688" s="7"/>
      <c r="E1688" s="7"/>
      <c r="F1688" s="9"/>
      <c r="H1688" s="10"/>
      <c r="I1688" s="10"/>
      <c r="J1688" s="10"/>
      <c r="K1688" s="10"/>
      <c r="L1688" s="10"/>
      <c r="M1688" s="10"/>
      <c r="N1688" s="10"/>
      <c r="O1688" s="7"/>
      <c r="P1688" s="7"/>
      <c r="Q1688" s="7"/>
      <c r="AB1688" s="7"/>
    </row>
    <row r="1689" spans="3:28" ht="13" x14ac:dyDescent="0.15">
      <c r="C1689" s="7"/>
      <c r="D1689" s="7"/>
      <c r="E1689" s="7"/>
      <c r="F1689" s="9"/>
      <c r="H1689" s="10"/>
      <c r="I1689" s="10"/>
      <c r="J1689" s="10"/>
      <c r="K1689" s="10"/>
      <c r="L1689" s="10"/>
      <c r="M1689" s="10"/>
      <c r="N1689" s="10"/>
      <c r="O1689" s="7"/>
      <c r="P1689" s="7"/>
      <c r="Q1689" s="7"/>
      <c r="AB1689" s="7"/>
    </row>
    <row r="1690" spans="3:28" ht="13" x14ac:dyDescent="0.15">
      <c r="C1690" s="7"/>
      <c r="D1690" s="7"/>
      <c r="E1690" s="7"/>
      <c r="F1690" s="9"/>
      <c r="H1690" s="10"/>
      <c r="I1690" s="10"/>
      <c r="J1690" s="10"/>
      <c r="K1690" s="10"/>
      <c r="L1690" s="10"/>
      <c r="M1690" s="10"/>
      <c r="N1690" s="10"/>
      <c r="O1690" s="7"/>
      <c r="P1690" s="7"/>
      <c r="Q1690" s="7"/>
      <c r="AB1690" s="7"/>
    </row>
    <row r="1691" spans="3:28" ht="13" x14ac:dyDescent="0.15">
      <c r="C1691" s="7"/>
      <c r="D1691" s="7"/>
      <c r="E1691" s="7"/>
      <c r="F1691" s="9"/>
      <c r="H1691" s="10"/>
      <c r="I1691" s="10"/>
      <c r="J1691" s="10"/>
      <c r="K1691" s="10"/>
      <c r="L1691" s="10"/>
      <c r="M1691" s="10"/>
      <c r="N1691" s="10"/>
      <c r="O1691" s="7"/>
      <c r="P1691" s="7"/>
      <c r="Q1691" s="7"/>
      <c r="AB1691" s="7"/>
    </row>
    <row r="1692" spans="3:28" ht="13" x14ac:dyDescent="0.15">
      <c r="C1692" s="7"/>
      <c r="D1692" s="7"/>
      <c r="E1692" s="7"/>
      <c r="F1692" s="9"/>
      <c r="H1692" s="10"/>
      <c r="I1692" s="10"/>
      <c r="J1692" s="10"/>
      <c r="K1692" s="10"/>
      <c r="L1692" s="10"/>
      <c r="M1692" s="10"/>
      <c r="N1692" s="10"/>
      <c r="O1692" s="7"/>
      <c r="P1692" s="7"/>
      <c r="Q1692" s="7"/>
      <c r="AB1692" s="7"/>
    </row>
    <row r="1693" spans="3:28" ht="13" x14ac:dyDescent="0.15">
      <c r="C1693" s="7"/>
      <c r="D1693" s="7"/>
      <c r="E1693" s="7"/>
      <c r="F1693" s="9"/>
      <c r="H1693" s="10"/>
      <c r="I1693" s="10"/>
      <c r="J1693" s="10"/>
      <c r="K1693" s="10"/>
      <c r="L1693" s="10"/>
      <c r="M1693" s="10"/>
      <c r="N1693" s="10"/>
      <c r="O1693" s="7"/>
      <c r="P1693" s="7"/>
      <c r="Q1693" s="7"/>
      <c r="AB1693" s="7"/>
    </row>
    <row r="1694" spans="3:28" ht="13" x14ac:dyDescent="0.15">
      <c r="C1694" s="7"/>
      <c r="D1694" s="7"/>
      <c r="E1694" s="7"/>
      <c r="F1694" s="9"/>
      <c r="H1694" s="10"/>
      <c r="I1694" s="10"/>
      <c r="J1694" s="10"/>
      <c r="K1694" s="10"/>
      <c r="L1694" s="10"/>
      <c r="M1694" s="10"/>
      <c r="N1694" s="10"/>
      <c r="O1694" s="7"/>
      <c r="P1694" s="7"/>
      <c r="Q1694" s="7"/>
      <c r="AB1694" s="7"/>
    </row>
    <row r="1695" spans="3:28" ht="13" x14ac:dyDescent="0.15">
      <c r="C1695" s="7"/>
      <c r="D1695" s="7"/>
      <c r="E1695" s="7"/>
      <c r="F1695" s="9"/>
      <c r="H1695" s="10"/>
      <c r="I1695" s="10"/>
      <c r="J1695" s="10"/>
      <c r="K1695" s="10"/>
      <c r="L1695" s="10"/>
      <c r="M1695" s="10"/>
      <c r="N1695" s="10"/>
      <c r="O1695" s="7"/>
      <c r="P1695" s="7"/>
      <c r="Q1695" s="7"/>
      <c r="AB1695" s="7"/>
    </row>
    <row r="1696" spans="3:28" ht="13" x14ac:dyDescent="0.15">
      <c r="C1696" s="7"/>
      <c r="D1696" s="7"/>
      <c r="E1696" s="7"/>
      <c r="F1696" s="9"/>
      <c r="H1696" s="10"/>
      <c r="I1696" s="10"/>
      <c r="J1696" s="10"/>
      <c r="K1696" s="10"/>
      <c r="L1696" s="10"/>
      <c r="M1696" s="10"/>
      <c r="N1696" s="10"/>
      <c r="O1696" s="7"/>
      <c r="P1696" s="7"/>
      <c r="Q1696" s="7"/>
      <c r="AB1696" s="7"/>
    </row>
    <row r="1697" spans="3:28" ht="13" x14ac:dyDescent="0.15">
      <c r="C1697" s="7"/>
      <c r="D1697" s="7"/>
      <c r="E1697" s="7"/>
      <c r="F1697" s="9"/>
      <c r="H1697" s="10"/>
      <c r="I1697" s="10"/>
      <c r="J1697" s="10"/>
      <c r="K1697" s="10"/>
      <c r="L1697" s="10"/>
      <c r="M1697" s="10"/>
      <c r="N1697" s="10"/>
      <c r="O1697" s="7"/>
      <c r="P1697" s="7"/>
      <c r="Q1697" s="7"/>
      <c r="AB1697" s="7"/>
    </row>
    <row r="1698" spans="3:28" ht="13" x14ac:dyDescent="0.15">
      <c r="C1698" s="7"/>
      <c r="D1698" s="7"/>
      <c r="E1698" s="7"/>
      <c r="F1698" s="9"/>
      <c r="H1698" s="10"/>
      <c r="I1698" s="10"/>
      <c r="J1698" s="10"/>
      <c r="K1698" s="10"/>
      <c r="L1698" s="10"/>
      <c r="M1698" s="10"/>
      <c r="N1698" s="10"/>
      <c r="O1698" s="7"/>
      <c r="P1698" s="7"/>
      <c r="Q1698" s="7"/>
      <c r="AB1698" s="7"/>
    </row>
    <row r="1699" spans="3:28" ht="13" x14ac:dyDescent="0.15">
      <c r="C1699" s="7"/>
      <c r="D1699" s="7"/>
      <c r="E1699" s="7"/>
      <c r="F1699" s="9"/>
      <c r="H1699" s="10"/>
      <c r="I1699" s="10"/>
      <c r="J1699" s="10"/>
      <c r="K1699" s="10"/>
      <c r="L1699" s="10"/>
      <c r="M1699" s="10"/>
      <c r="N1699" s="10"/>
      <c r="O1699" s="7"/>
      <c r="P1699" s="7"/>
      <c r="Q1699" s="7"/>
      <c r="AB1699" s="7"/>
    </row>
    <row r="1700" spans="3:28" ht="13" x14ac:dyDescent="0.15">
      <c r="C1700" s="7"/>
      <c r="D1700" s="7"/>
      <c r="E1700" s="7"/>
      <c r="F1700" s="9"/>
      <c r="H1700" s="10"/>
      <c r="I1700" s="10"/>
      <c r="J1700" s="10"/>
      <c r="K1700" s="10"/>
      <c r="L1700" s="10"/>
      <c r="M1700" s="10"/>
      <c r="N1700" s="10"/>
      <c r="O1700" s="7"/>
      <c r="P1700" s="7"/>
      <c r="Q1700" s="7"/>
      <c r="AB1700" s="7"/>
    </row>
    <row r="1701" spans="3:28" ht="13" x14ac:dyDescent="0.15">
      <c r="C1701" s="7"/>
      <c r="D1701" s="7"/>
      <c r="E1701" s="7"/>
      <c r="F1701" s="9"/>
      <c r="H1701" s="10"/>
      <c r="I1701" s="10"/>
      <c r="J1701" s="10"/>
      <c r="K1701" s="10"/>
      <c r="L1701" s="10"/>
      <c r="M1701" s="10"/>
      <c r="N1701" s="10"/>
      <c r="O1701" s="7"/>
      <c r="P1701" s="7"/>
      <c r="Q1701" s="7"/>
      <c r="AB1701" s="7"/>
    </row>
    <row r="1702" spans="3:28" ht="13" x14ac:dyDescent="0.15">
      <c r="C1702" s="7"/>
      <c r="D1702" s="7"/>
      <c r="E1702" s="7"/>
      <c r="F1702" s="9"/>
      <c r="H1702" s="10"/>
      <c r="I1702" s="10"/>
      <c r="J1702" s="10"/>
      <c r="K1702" s="10"/>
      <c r="L1702" s="10"/>
      <c r="M1702" s="10"/>
      <c r="N1702" s="10"/>
      <c r="O1702" s="7"/>
      <c r="P1702" s="7"/>
      <c r="Q1702" s="7"/>
      <c r="AB1702" s="7"/>
    </row>
    <row r="1703" spans="3:28" ht="13" x14ac:dyDescent="0.15">
      <c r="C1703" s="7"/>
      <c r="D1703" s="7"/>
      <c r="E1703" s="7"/>
      <c r="F1703" s="9"/>
      <c r="H1703" s="10"/>
      <c r="I1703" s="10"/>
      <c r="J1703" s="10"/>
      <c r="K1703" s="10"/>
      <c r="L1703" s="10"/>
      <c r="M1703" s="10"/>
      <c r="N1703" s="10"/>
      <c r="O1703" s="7"/>
      <c r="P1703" s="7"/>
      <c r="Q1703" s="7"/>
      <c r="AB1703" s="7"/>
    </row>
    <row r="1704" spans="3:28" ht="13" x14ac:dyDescent="0.15">
      <c r="C1704" s="7"/>
      <c r="D1704" s="7"/>
      <c r="E1704" s="7"/>
      <c r="F1704" s="9"/>
      <c r="H1704" s="10"/>
      <c r="I1704" s="10"/>
      <c r="J1704" s="10"/>
      <c r="K1704" s="10"/>
      <c r="L1704" s="10"/>
      <c r="M1704" s="10"/>
      <c r="N1704" s="10"/>
      <c r="O1704" s="7"/>
      <c r="P1704" s="7"/>
      <c r="Q1704" s="7"/>
      <c r="AB1704" s="7"/>
    </row>
    <row r="1705" spans="3:28" ht="13" x14ac:dyDescent="0.15">
      <c r="C1705" s="7"/>
      <c r="D1705" s="7"/>
      <c r="E1705" s="7"/>
      <c r="F1705" s="9"/>
      <c r="H1705" s="10"/>
      <c r="I1705" s="10"/>
      <c r="J1705" s="10"/>
      <c r="K1705" s="10"/>
      <c r="L1705" s="10"/>
      <c r="M1705" s="10"/>
      <c r="N1705" s="10"/>
      <c r="O1705" s="7"/>
      <c r="P1705" s="7"/>
      <c r="Q1705" s="7"/>
      <c r="AB1705" s="7"/>
    </row>
    <row r="1706" spans="3:28" ht="13" x14ac:dyDescent="0.15">
      <c r="C1706" s="7"/>
      <c r="D1706" s="7"/>
      <c r="E1706" s="7"/>
      <c r="F1706" s="9"/>
      <c r="H1706" s="10"/>
      <c r="I1706" s="10"/>
      <c r="J1706" s="10"/>
      <c r="K1706" s="10"/>
      <c r="L1706" s="10"/>
      <c r="M1706" s="10"/>
      <c r="N1706" s="10"/>
      <c r="O1706" s="7"/>
      <c r="P1706" s="7"/>
      <c r="Q1706" s="7"/>
      <c r="AB1706" s="7"/>
    </row>
    <row r="1707" spans="3:28" ht="13" x14ac:dyDescent="0.15">
      <c r="C1707" s="7"/>
      <c r="D1707" s="7"/>
      <c r="E1707" s="7"/>
      <c r="F1707" s="9"/>
      <c r="H1707" s="10"/>
      <c r="I1707" s="10"/>
      <c r="J1707" s="10"/>
      <c r="K1707" s="10"/>
      <c r="L1707" s="10"/>
      <c r="M1707" s="10"/>
      <c r="N1707" s="10"/>
      <c r="O1707" s="7"/>
      <c r="P1707" s="7"/>
      <c r="Q1707" s="7"/>
      <c r="AB1707" s="7"/>
    </row>
    <row r="1708" spans="3:28" ht="13" x14ac:dyDescent="0.15">
      <c r="C1708" s="7"/>
      <c r="D1708" s="7"/>
      <c r="E1708" s="7"/>
      <c r="F1708" s="9"/>
      <c r="H1708" s="10"/>
      <c r="I1708" s="10"/>
      <c r="J1708" s="10"/>
      <c r="K1708" s="10"/>
      <c r="L1708" s="10"/>
      <c r="M1708" s="10"/>
      <c r="N1708" s="10"/>
      <c r="O1708" s="7"/>
      <c r="P1708" s="7"/>
      <c r="Q1708" s="7"/>
      <c r="AB1708" s="7"/>
    </row>
    <row r="1709" spans="3:28" ht="13" x14ac:dyDescent="0.15">
      <c r="C1709" s="7"/>
      <c r="D1709" s="7"/>
      <c r="E1709" s="7"/>
      <c r="F1709" s="9"/>
      <c r="H1709" s="10"/>
      <c r="I1709" s="10"/>
      <c r="J1709" s="10"/>
      <c r="K1709" s="10"/>
      <c r="L1709" s="10"/>
      <c r="M1709" s="10"/>
      <c r="N1709" s="10"/>
      <c r="O1709" s="7"/>
      <c r="P1709" s="7"/>
      <c r="Q1709" s="7"/>
      <c r="AB1709" s="7"/>
    </row>
    <row r="1710" spans="3:28" ht="13" x14ac:dyDescent="0.15">
      <c r="C1710" s="7"/>
      <c r="D1710" s="7"/>
      <c r="E1710" s="7"/>
      <c r="F1710" s="9"/>
      <c r="H1710" s="10"/>
      <c r="I1710" s="10"/>
      <c r="J1710" s="10"/>
      <c r="K1710" s="10"/>
      <c r="L1710" s="10"/>
      <c r="M1710" s="10"/>
      <c r="N1710" s="10"/>
      <c r="O1710" s="7"/>
      <c r="P1710" s="7"/>
      <c r="Q1710" s="7"/>
      <c r="AB1710" s="7"/>
    </row>
    <row r="1711" spans="3:28" ht="13" x14ac:dyDescent="0.15">
      <c r="C1711" s="7"/>
      <c r="D1711" s="7"/>
      <c r="E1711" s="7"/>
      <c r="F1711" s="9"/>
      <c r="H1711" s="10"/>
      <c r="I1711" s="10"/>
      <c r="J1711" s="10"/>
      <c r="K1711" s="10"/>
      <c r="L1711" s="10"/>
      <c r="M1711" s="10"/>
      <c r="N1711" s="10"/>
      <c r="O1711" s="7"/>
      <c r="P1711" s="7"/>
      <c r="Q1711" s="7"/>
      <c r="AB1711" s="7"/>
    </row>
    <row r="1712" spans="3:28" ht="13" x14ac:dyDescent="0.15">
      <c r="C1712" s="7"/>
      <c r="D1712" s="7"/>
      <c r="E1712" s="7"/>
      <c r="F1712" s="9"/>
      <c r="H1712" s="10"/>
      <c r="I1712" s="10"/>
      <c r="J1712" s="10"/>
      <c r="K1712" s="10"/>
      <c r="L1712" s="10"/>
      <c r="M1712" s="10"/>
      <c r="N1712" s="10"/>
      <c r="O1712" s="7"/>
      <c r="P1712" s="7"/>
      <c r="Q1712" s="7"/>
      <c r="AB1712" s="7"/>
    </row>
    <row r="1713" spans="3:28" ht="13" x14ac:dyDescent="0.15">
      <c r="C1713" s="7"/>
      <c r="D1713" s="7"/>
      <c r="E1713" s="7"/>
      <c r="F1713" s="9"/>
      <c r="H1713" s="10"/>
      <c r="I1713" s="10"/>
      <c r="J1713" s="10"/>
      <c r="K1713" s="10"/>
      <c r="L1713" s="10"/>
      <c r="M1713" s="10"/>
      <c r="N1713" s="10"/>
      <c r="O1713" s="7"/>
      <c r="P1713" s="7"/>
      <c r="Q1713" s="7"/>
      <c r="AB1713" s="7"/>
    </row>
    <row r="1714" spans="3:28" ht="13" x14ac:dyDescent="0.15">
      <c r="C1714" s="7"/>
      <c r="D1714" s="7"/>
      <c r="E1714" s="7"/>
      <c r="F1714" s="9"/>
      <c r="H1714" s="10"/>
      <c r="I1714" s="10"/>
      <c r="J1714" s="10"/>
      <c r="K1714" s="10"/>
      <c r="L1714" s="10"/>
      <c r="M1714" s="10"/>
      <c r="N1714" s="10"/>
      <c r="O1714" s="7"/>
      <c r="P1714" s="7"/>
      <c r="Q1714" s="7"/>
      <c r="AB1714" s="7"/>
    </row>
    <row r="1715" spans="3:28" ht="13" x14ac:dyDescent="0.15">
      <c r="C1715" s="7"/>
      <c r="D1715" s="7"/>
      <c r="E1715" s="7"/>
      <c r="F1715" s="9"/>
      <c r="H1715" s="10"/>
      <c r="I1715" s="10"/>
      <c r="J1715" s="10"/>
      <c r="K1715" s="10"/>
      <c r="L1715" s="10"/>
      <c r="M1715" s="10"/>
      <c r="N1715" s="10"/>
      <c r="O1715" s="7"/>
      <c r="P1715" s="7"/>
      <c r="Q1715" s="7"/>
      <c r="AB1715" s="7"/>
    </row>
    <row r="1716" spans="3:28" ht="13" x14ac:dyDescent="0.15">
      <c r="C1716" s="7"/>
      <c r="D1716" s="7"/>
      <c r="E1716" s="7"/>
      <c r="F1716" s="9"/>
      <c r="H1716" s="10"/>
      <c r="I1716" s="10"/>
      <c r="J1716" s="10"/>
      <c r="K1716" s="10"/>
      <c r="L1716" s="10"/>
      <c r="M1716" s="10"/>
      <c r="N1716" s="10"/>
      <c r="O1716" s="7"/>
      <c r="P1716" s="7"/>
      <c r="Q1716" s="7"/>
      <c r="AB1716" s="7"/>
    </row>
    <row r="1717" spans="3:28" ht="13" x14ac:dyDescent="0.15">
      <c r="C1717" s="7"/>
      <c r="D1717" s="7"/>
      <c r="E1717" s="7"/>
      <c r="F1717" s="9"/>
      <c r="H1717" s="10"/>
      <c r="I1717" s="10"/>
      <c r="J1717" s="10"/>
      <c r="K1717" s="10"/>
      <c r="L1717" s="10"/>
      <c r="M1717" s="10"/>
      <c r="N1717" s="10"/>
      <c r="O1717" s="7"/>
      <c r="P1717" s="7"/>
      <c r="Q1717" s="7"/>
      <c r="AB1717" s="7"/>
    </row>
    <row r="1718" spans="3:28" ht="13" x14ac:dyDescent="0.15">
      <c r="C1718" s="7"/>
      <c r="D1718" s="7"/>
      <c r="E1718" s="7"/>
      <c r="F1718" s="9"/>
      <c r="H1718" s="10"/>
      <c r="I1718" s="10"/>
      <c r="J1718" s="10"/>
      <c r="K1718" s="10"/>
      <c r="L1718" s="10"/>
      <c r="M1718" s="10"/>
      <c r="N1718" s="10"/>
      <c r="O1718" s="7"/>
      <c r="P1718" s="7"/>
      <c r="Q1718" s="7"/>
      <c r="AB1718" s="7"/>
    </row>
    <row r="1719" spans="3:28" ht="13" x14ac:dyDescent="0.15">
      <c r="C1719" s="7"/>
      <c r="D1719" s="7"/>
      <c r="E1719" s="7"/>
      <c r="F1719" s="9"/>
      <c r="H1719" s="10"/>
      <c r="I1719" s="10"/>
      <c r="J1719" s="10"/>
      <c r="K1719" s="10"/>
      <c r="L1719" s="10"/>
      <c r="M1719" s="10"/>
      <c r="N1719" s="10"/>
      <c r="O1719" s="7"/>
      <c r="P1719" s="7"/>
      <c r="Q1719" s="7"/>
      <c r="AB1719" s="7"/>
    </row>
    <row r="1720" spans="3:28" ht="13" x14ac:dyDescent="0.15">
      <c r="C1720" s="7"/>
      <c r="D1720" s="7"/>
      <c r="E1720" s="7"/>
      <c r="F1720" s="9"/>
      <c r="H1720" s="10"/>
      <c r="I1720" s="10"/>
      <c r="J1720" s="10"/>
      <c r="K1720" s="10"/>
      <c r="L1720" s="10"/>
      <c r="M1720" s="10"/>
      <c r="N1720" s="10"/>
      <c r="O1720" s="7"/>
      <c r="P1720" s="7"/>
      <c r="Q1720" s="7"/>
      <c r="AB1720" s="7"/>
    </row>
    <row r="1721" spans="3:28" ht="13" x14ac:dyDescent="0.15">
      <c r="C1721" s="7"/>
      <c r="D1721" s="7"/>
      <c r="E1721" s="7"/>
      <c r="F1721" s="9"/>
      <c r="H1721" s="10"/>
      <c r="I1721" s="10"/>
      <c r="J1721" s="10"/>
      <c r="K1721" s="10"/>
      <c r="L1721" s="10"/>
      <c r="M1721" s="10"/>
      <c r="N1721" s="10"/>
      <c r="O1721" s="7"/>
      <c r="P1721" s="7"/>
      <c r="Q1721" s="7"/>
      <c r="AB1721" s="7"/>
    </row>
    <row r="1722" spans="3:28" ht="13" x14ac:dyDescent="0.15">
      <c r="C1722" s="7"/>
      <c r="D1722" s="7"/>
      <c r="E1722" s="7"/>
      <c r="F1722" s="9"/>
      <c r="H1722" s="10"/>
      <c r="I1722" s="10"/>
      <c r="J1722" s="10"/>
      <c r="K1722" s="10"/>
      <c r="L1722" s="10"/>
      <c r="M1722" s="10"/>
      <c r="N1722" s="10"/>
      <c r="O1722" s="7"/>
      <c r="P1722" s="7"/>
      <c r="Q1722" s="7"/>
      <c r="AB1722" s="7"/>
    </row>
    <row r="1723" spans="3:28" ht="13" x14ac:dyDescent="0.15">
      <c r="C1723" s="7"/>
      <c r="D1723" s="7"/>
      <c r="E1723" s="7"/>
      <c r="F1723" s="9"/>
      <c r="H1723" s="10"/>
      <c r="I1723" s="10"/>
      <c r="J1723" s="10"/>
      <c r="K1723" s="10"/>
      <c r="L1723" s="10"/>
      <c r="M1723" s="10"/>
      <c r="N1723" s="10"/>
      <c r="O1723" s="7"/>
      <c r="P1723" s="7"/>
      <c r="Q1723" s="7"/>
      <c r="AB1723" s="7"/>
    </row>
    <row r="1724" spans="3:28" ht="13" x14ac:dyDescent="0.15">
      <c r="C1724" s="7"/>
      <c r="D1724" s="7"/>
      <c r="E1724" s="7"/>
      <c r="F1724" s="9"/>
      <c r="H1724" s="10"/>
      <c r="I1724" s="10"/>
      <c r="J1724" s="10"/>
      <c r="K1724" s="10"/>
      <c r="L1724" s="10"/>
      <c r="M1724" s="10"/>
      <c r="N1724" s="10"/>
      <c r="O1724" s="7"/>
      <c r="P1724" s="7"/>
      <c r="Q1724" s="7"/>
      <c r="AB1724" s="7"/>
    </row>
    <row r="1725" spans="3:28" ht="13" x14ac:dyDescent="0.15">
      <c r="C1725" s="7"/>
      <c r="D1725" s="7"/>
      <c r="E1725" s="7"/>
      <c r="F1725" s="9"/>
      <c r="H1725" s="10"/>
      <c r="I1725" s="10"/>
      <c r="J1725" s="10"/>
      <c r="K1725" s="10"/>
      <c r="L1725" s="10"/>
      <c r="M1725" s="10"/>
      <c r="N1725" s="10"/>
      <c r="O1725" s="7"/>
      <c r="P1725" s="7"/>
      <c r="Q1725" s="7"/>
      <c r="AB1725" s="7"/>
    </row>
    <row r="1726" spans="3:28" ht="13" x14ac:dyDescent="0.15">
      <c r="C1726" s="7"/>
      <c r="D1726" s="7"/>
      <c r="E1726" s="7"/>
      <c r="F1726" s="9"/>
      <c r="H1726" s="10"/>
      <c r="I1726" s="10"/>
      <c r="J1726" s="10"/>
      <c r="K1726" s="10"/>
      <c r="L1726" s="10"/>
      <c r="M1726" s="10"/>
      <c r="N1726" s="10"/>
      <c r="O1726" s="7"/>
      <c r="P1726" s="7"/>
      <c r="Q1726" s="7"/>
      <c r="AB1726" s="7"/>
    </row>
    <row r="1727" spans="3:28" ht="13" x14ac:dyDescent="0.15">
      <c r="C1727" s="7"/>
      <c r="D1727" s="7"/>
      <c r="E1727" s="7"/>
      <c r="F1727" s="9"/>
      <c r="H1727" s="10"/>
      <c r="I1727" s="10"/>
      <c r="J1727" s="10"/>
      <c r="K1727" s="10"/>
      <c r="L1727" s="10"/>
      <c r="M1727" s="10"/>
      <c r="N1727" s="10"/>
      <c r="O1727" s="7"/>
      <c r="P1727" s="7"/>
      <c r="Q1727" s="7"/>
      <c r="AB1727" s="7"/>
    </row>
    <row r="1728" spans="3:28" ht="13" x14ac:dyDescent="0.15">
      <c r="C1728" s="7"/>
      <c r="D1728" s="7"/>
      <c r="E1728" s="7"/>
      <c r="F1728" s="9"/>
      <c r="H1728" s="10"/>
      <c r="I1728" s="10"/>
      <c r="J1728" s="10"/>
      <c r="K1728" s="10"/>
      <c r="L1728" s="10"/>
      <c r="M1728" s="10"/>
      <c r="N1728" s="10"/>
      <c r="O1728" s="7"/>
      <c r="P1728" s="7"/>
      <c r="Q1728" s="7"/>
      <c r="AB1728" s="7"/>
    </row>
    <row r="1729" spans="3:28" ht="13" x14ac:dyDescent="0.15">
      <c r="C1729" s="7"/>
      <c r="D1729" s="7"/>
      <c r="E1729" s="7"/>
      <c r="F1729" s="9"/>
      <c r="H1729" s="10"/>
      <c r="I1729" s="10"/>
      <c r="J1729" s="10"/>
      <c r="K1729" s="10"/>
      <c r="L1729" s="10"/>
      <c r="M1729" s="10"/>
      <c r="N1729" s="10"/>
      <c r="O1729" s="7"/>
      <c r="P1729" s="7"/>
      <c r="Q1729" s="7"/>
      <c r="AB1729" s="7"/>
    </row>
    <row r="1730" spans="3:28" ht="13" x14ac:dyDescent="0.15">
      <c r="C1730" s="7"/>
      <c r="D1730" s="7"/>
      <c r="E1730" s="7"/>
      <c r="F1730" s="9"/>
      <c r="H1730" s="10"/>
      <c r="I1730" s="10"/>
      <c r="J1730" s="10"/>
      <c r="K1730" s="10"/>
      <c r="L1730" s="10"/>
      <c r="M1730" s="10"/>
      <c r="N1730" s="10"/>
      <c r="O1730" s="7"/>
      <c r="P1730" s="7"/>
      <c r="Q1730" s="7"/>
      <c r="AB1730" s="7"/>
    </row>
    <row r="1731" spans="3:28" ht="13" x14ac:dyDescent="0.15">
      <c r="C1731" s="7"/>
      <c r="D1731" s="7"/>
      <c r="E1731" s="7"/>
      <c r="F1731" s="9"/>
      <c r="H1731" s="10"/>
      <c r="I1731" s="10"/>
      <c r="J1731" s="10"/>
      <c r="K1731" s="10"/>
      <c r="L1731" s="10"/>
      <c r="M1731" s="10"/>
      <c r="N1731" s="10"/>
      <c r="O1731" s="7"/>
      <c r="P1731" s="7"/>
      <c r="Q1731" s="7"/>
      <c r="AB1731" s="7"/>
    </row>
    <row r="1732" spans="3:28" ht="13" x14ac:dyDescent="0.15">
      <c r="C1732" s="7"/>
      <c r="D1732" s="7"/>
      <c r="E1732" s="7"/>
      <c r="F1732" s="9"/>
      <c r="H1732" s="10"/>
      <c r="I1732" s="10"/>
      <c r="J1732" s="10"/>
      <c r="K1732" s="10"/>
      <c r="L1732" s="10"/>
      <c r="M1732" s="10"/>
      <c r="N1732" s="10"/>
      <c r="O1732" s="7"/>
      <c r="P1732" s="7"/>
      <c r="Q1732" s="7"/>
      <c r="AB1732" s="7"/>
    </row>
    <row r="1733" spans="3:28" ht="13" x14ac:dyDescent="0.15">
      <c r="C1733" s="7"/>
      <c r="D1733" s="7"/>
      <c r="E1733" s="7"/>
      <c r="F1733" s="9"/>
      <c r="H1733" s="10"/>
      <c r="I1733" s="10"/>
      <c r="J1733" s="10"/>
      <c r="K1733" s="10"/>
      <c r="L1733" s="10"/>
      <c r="M1733" s="10"/>
      <c r="N1733" s="10"/>
      <c r="O1733" s="7"/>
      <c r="P1733" s="7"/>
      <c r="Q1733" s="7"/>
      <c r="AB1733" s="7"/>
    </row>
    <row r="1734" spans="3:28" ht="13" x14ac:dyDescent="0.15">
      <c r="C1734" s="7"/>
      <c r="D1734" s="7"/>
      <c r="E1734" s="7"/>
      <c r="F1734" s="9"/>
      <c r="H1734" s="10"/>
      <c r="I1734" s="10"/>
      <c r="J1734" s="10"/>
      <c r="K1734" s="10"/>
      <c r="L1734" s="10"/>
      <c r="M1734" s="10"/>
      <c r="N1734" s="10"/>
      <c r="O1734" s="7"/>
      <c r="P1734" s="7"/>
      <c r="Q1734" s="7"/>
      <c r="AB1734" s="7"/>
    </row>
    <row r="1735" spans="3:28" ht="13" x14ac:dyDescent="0.15">
      <c r="C1735" s="7"/>
      <c r="D1735" s="7"/>
      <c r="E1735" s="7"/>
      <c r="F1735" s="9"/>
      <c r="H1735" s="10"/>
      <c r="I1735" s="10"/>
      <c r="J1735" s="10"/>
      <c r="K1735" s="10"/>
      <c r="L1735" s="10"/>
      <c r="M1735" s="10"/>
      <c r="N1735" s="10"/>
      <c r="O1735" s="7"/>
      <c r="P1735" s="7"/>
      <c r="Q1735" s="7"/>
      <c r="AB1735" s="7"/>
    </row>
    <row r="1736" spans="3:28" ht="13" x14ac:dyDescent="0.15">
      <c r="C1736" s="7"/>
      <c r="D1736" s="7"/>
      <c r="E1736" s="7"/>
      <c r="F1736" s="9"/>
      <c r="H1736" s="10"/>
      <c r="I1736" s="10"/>
      <c r="J1736" s="10"/>
      <c r="K1736" s="10"/>
      <c r="L1736" s="10"/>
      <c r="M1736" s="10"/>
      <c r="N1736" s="10"/>
      <c r="O1736" s="7"/>
      <c r="P1736" s="7"/>
      <c r="Q1736" s="7"/>
      <c r="AB1736" s="7"/>
    </row>
    <row r="1737" spans="3:28" ht="13" x14ac:dyDescent="0.15">
      <c r="C1737" s="7"/>
      <c r="D1737" s="7"/>
      <c r="E1737" s="7"/>
      <c r="F1737" s="9"/>
      <c r="H1737" s="10"/>
      <c r="I1737" s="10"/>
      <c r="J1737" s="10"/>
      <c r="K1737" s="10"/>
      <c r="L1737" s="10"/>
      <c r="M1737" s="10"/>
      <c r="N1737" s="10"/>
      <c r="O1737" s="7"/>
      <c r="P1737" s="7"/>
      <c r="Q1737" s="7"/>
      <c r="AB1737" s="7"/>
    </row>
    <row r="1738" spans="3:28" ht="13" x14ac:dyDescent="0.15">
      <c r="C1738" s="7"/>
      <c r="D1738" s="7"/>
      <c r="E1738" s="7"/>
      <c r="F1738" s="9"/>
      <c r="H1738" s="10"/>
      <c r="I1738" s="10"/>
      <c r="J1738" s="10"/>
      <c r="K1738" s="10"/>
      <c r="L1738" s="10"/>
      <c r="M1738" s="10"/>
      <c r="N1738" s="10"/>
      <c r="O1738" s="7"/>
      <c r="P1738" s="7"/>
      <c r="Q1738" s="7"/>
      <c r="AB1738" s="7"/>
    </row>
    <row r="1739" spans="3:28" ht="13" x14ac:dyDescent="0.15">
      <c r="C1739" s="7"/>
      <c r="D1739" s="7"/>
      <c r="E1739" s="7"/>
      <c r="F1739" s="9"/>
      <c r="H1739" s="10"/>
      <c r="I1739" s="10"/>
      <c r="J1739" s="10"/>
      <c r="K1739" s="10"/>
      <c r="L1739" s="10"/>
      <c r="M1739" s="10"/>
      <c r="N1739" s="10"/>
      <c r="O1739" s="7"/>
      <c r="P1739" s="7"/>
      <c r="Q1739" s="7"/>
      <c r="AB1739" s="7"/>
    </row>
    <row r="1740" spans="3:28" ht="13" x14ac:dyDescent="0.15">
      <c r="C1740" s="7"/>
      <c r="D1740" s="7"/>
      <c r="E1740" s="7"/>
      <c r="F1740" s="9"/>
      <c r="H1740" s="10"/>
      <c r="I1740" s="10"/>
      <c r="J1740" s="10"/>
      <c r="K1740" s="10"/>
      <c r="L1740" s="10"/>
      <c r="M1740" s="10"/>
      <c r="N1740" s="10"/>
      <c r="O1740" s="7"/>
      <c r="P1740" s="7"/>
      <c r="Q1740" s="7"/>
      <c r="AB1740" s="7"/>
    </row>
    <row r="1741" spans="3:28" ht="13" x14ac:dyDescent="0.15">
      <c r="C1741" s="7"/>
      <c r="D1741" s="7"/>
      <c r="E1741" s="7"/>
      <c r="F1741" s="9"/>
      <c r="H1741" s="10"/>
      <c r="I1741" s="10"/>
      <c r="J1741" s="10"/>
      <c r="K1741" s="10"/>
      <c r="L1741" s="10"/>
      <c r="M1741" s="10"/>
      <c r="N1741" s="10"/>
      <c r="O1741" s="7"/>
      <c r="P1741" s="7"/>
      <c r="Q1741" s="7"/>
      <c r="AB1741" s="7"/>
    </row>
    <row r="1742" spans="3:28" ht="13" x14ac:dyDescent="0.15">
      <c r="C1742" s="7"/>
      <c r="D1742" s="7"/>
      <c r="E1742" s="7"/>
      <c r="F1742" s="9"/>
      <c r="H1742" s="10"/>
      <c r="I1742" s="10"/>
      <c r="J1742" s="10"/>
      <c r="K1742" s="10"/>
      <c r="L1742" s="10"/>
      <c r="M1742" s="10"/>
      <c r="N1742" s="10"/>
      <c r="O1742" s="7"/>
      <c r="P1742" s="7"/>
      <c r="Q1742" s="7"/>
      <c r="AB1742" s="7"/>
    </row>
    <row r="1743" spans="3:28" ht="13" x14ac:dyDescent="0.15">
      <c r="C1743" s="7"/>
      <c r="D1743" s="7"/>
      <c r="E1743" s="7"/>
      <c r="F1743" s="9"/>
      <c r="H1743" s="10"/>
      <c r="I1743" s="10"/>
      <c r="J1743" s="10"/>
      <c r="K1743" s="10"/>
      <c r="L1743" s="10"/>
      <c r="M1743" s="10"/>
      <c r="N1743" s="10"/>
      <c r="O1743" s="7"/>
      <c r="P1743" s="7"/>
      <c r="Q1743" s="7"/>
      <c r="AB1743" s="7"/>
    </row>
    <row r="1744" spans="3:28" ht="13" x14ac:dyDescent="0.15">
      <c r="C1744" s="7"/>
      <c r="D1744" s="7"/>
      <c r="E1744" s="7"/>
      <c r="F1744" s="9"/>
      <c r="H1744" s="10"/>
      <c r="I1744" s="10"/>
      <c r="J1744" s="10"/>
      <c r="K1744" s="10"/>
      <c r="L1744" s="10"/>
      <c r="M1744" s="10"/>
      <c r="N1744" s="10"/>
      <c r="O1744" s="7"/>
      <c r="P1744" s="7"/>
      <c r="Q1744" s="7"/>
      <c r="AB1744" s="7"/>
    </row>
    <row r="1745" spans="3:28" ht="13" x14ac:dyDescent="0.15">
      <c r="C1745" s="7"/>
      <c r="D1745" s="7"/>
      <c r="E1745" s="7"/>
      <c r="F1745" s="9"/>
      <c r="H1745" s="10"/>
      <c r="I1745" s="10"/>
      <c r="J1745" s="10"/>
      <c r="K1745" s="10"/>
      <c r="L1745" s="10"/>
      <c r="M1745" s="10"/>
      <c r="N1745" s="10"/>
      <c r="O1745" s="7"/>
      <c r="P1745" s="7"/>
      <c r="Q1745" s="7"/>
      <c r="AB1745" s="7"/>
    </row>
    <row r="1746" spans="3:28" ht="13" x14ac:dyDescent="0.15">
      <c r="C1746" s="7"/>
      <c r="D1746" s="7"/>
      <c r="E1746" s="7"/>
      <c r="F1746" s="9"/>
      <c r="H1746" s="10"/>
      <c r="I1746" s="10"/>
      <c r="J1746" s="10"/>
      <c r="K1746" s="10"/>
      <c r="L1746" s="10"/>
      <c r="M1746" s="10"/>
      <c r="N1746" s="10"/>
      <c r="O1746" s="7"/>
      <c r="P1746" s="7"/>
      <c r="Q1746" s="7"/>
      <c r="AB1746" s="7"/>
    </row>
    <row r="1747" spans="3:28" ht="13" x14ac:dyDescent="0.15">
      <c r="C1747" s="7"/>
      <c r="D1747" s="7"/>
      <c r="E1747" s="7"/>
      <c r="F1747" s="9"/>
      <c r="H1747" s="10"/>
      <c r="I1747" s="10"/>
      <c r="J1747" s="10"/>
      <c r="K1747" s="10"/>
      <c r="L1747" s="10"/>
      <c r="M1747" s="10"/>
      <c r="N1747" s="10"/>
      <c r="O1747" s="7"/>
      <c r="P1747" s="7"/>
      <c r="Q1747" s="7"/>
      <c r="AB1747" s="7"/>
    </row>
    <row r="1748" spans="3:28" ht="13" x14ac:dyDescent="0.15">
      <c r="C1748" s="7"/>
      <c r="D1748" s="7"/>
      <c r="E1748" s="7"/>
      <c r="F1748" s="9"/>
      <c r="H1748" s="10"/>
      <c r="I1748" s="10"/>
      <c r="J1748" s="10"/>
      <c r="K1748" s="10"/>
      <c r="L1748" s="10"/>
      <c r="M1748" s="10"/>
      <c r="N1748" s="10"/>
      <c r="O1748" s="7"/>
      <c r="P1748" s="7"/>
      <c r="Q1748" s="7"/>
      <c r="AB1748" s="7"/>
    </row>
    <row r="1749" spans="3:28" ht="13" x14ac:dyDescent="0.15">
      <c r="C1749" s="7"/>
      <c r="D1749" s="7"/>
      <c r="E1749" s="7"/>
      <c r="F1749" s="9"/>
      <c r="H1749" s="10"/>
      <c r="I1749" s="10"/>
      <c r="J1749" s="10"/>
      <c r="K1749" s="10"/>
      <c r="L1749" s="10"/>
      <c r="M1749" s="10"/>
      <c r="N1749" s="10"/>
      <c r="O1749" s="7"/>
      <c r="P1749" s="7"/>
      <c r="Q1749" s="7"/>
      <c r="AB1749" s="7"/>
    </row>
    <row r="1750" spans="3:28" ht="13" x14ac:dyDescent="0.15">
      <c r="C1750" s="7"/>
      <c r="D1750" s="7"/>
      <c r="E1750" s="7"/>
      <c r="F1750" s="9"/>
      <c r="H1750" s="10"/>
      <c r="I1750" s="10"/>
      <c r="J1750" s="10"/>
      <c r="K1750" s="10"/>
      <c r="L1750" s="10"/>
      <c r="M1750" s="10"/>
      <c r="N1750" s="10"/>
      <c r="O1750" s="7"/>
      <c r="P1750" s="7"/>
      <c r="Q1750" s="7"/>
      <c r="AB1750" s="7"/>
    </row>
    <row r="1751" spans="3:28" ht="13" x14ac:dyDescent="0.15">
      <c r="C1751" s="7"/>
      <c r="D1751" s="7"/>
      <c r="E1751" s="7"/>
      <c r="F1751" s="9"/>
      <c r="H1751" s="10"/>
      <c r="I1751" s="10"/>
      <c r="J1751" s="10"/>
      <c r="K1751" s="10"/>
      <c r="L1751" s="10"/>
      <c r="M1751" s="10"/>
      <c r="N1751" s="10"/>
      <c r="O1751" s="7"/>
      <c r="P1751" s="7"/>
      <c r="Q1751" s="7"/>
      <c r="AB1751" s="7"/>
    </row>
    <row r="1752" spans="3:28" ht="13" x14ac:dyDescent="0.15">
      <c r="C1752" s="7"/>
      <c r="D1752" s="7"/>
      <c r="E1752" s="7"/>
      <c r="F1752" s="9"/>
      <c r="H1752" s="10"/>
      <c r="I1752" s="10"/>
      <c r="J1752" s="10"/>
      <c r="K1752" s="10"/>
      <c r="L1752" s="10"/>
      <c r="M1752" s="10"/>
      <c r="N1752" s="10"/>
      <c r="O1752" s="7"/>
      <c r="P1752" s="7"/>
      <c r="Q1752" s="7"/>
      <c r="AB1752" s="7"/>
    </row>
    <row r="1753" spans="3:28" ht="13" x14ac:dyDescent="0.15">
      <c r="C1753" s="7"/>
      <c r="D1753" s="7"/>
      <c r="E1753" s="7"/>
      <c r="F1753" s="9"/>
      <c r="H1753" s="10"/>
      <c r="I1753" s="10"/>
      <c r="J1753" s="10"/>
      <c r="K1753" s="10"/>
      <c r="L1753" s="10"/>
      <c r="M1753" s="10"/>
      <c r="N1753" s="10"/>
      <c r="O1753" s="7"/>
      <c r="P1753" s="7"/>
      <c r="Q1753" s="7"/>
      <c r="AB1753" s="7"/>
    </row>
    <row r="1754" spans="3:28" ht="13" x14ac:dyDescent="0.15">
      <c r="C1754" s="7"/>
      <c r="D1754" s="7"/>
      <c r="E1754" s="7"/>
      <c r="F1754" s="9"/>
      <c r="H1754" s="10"/>
      <c r="I1754" s="10"/>
      <c r="J1754" s="10"/>
      <c r="K1754" s="10"/>
      <c r="L1754" s="10"/>
      <c r="M1754" s="10"/>
      <c r="N1754" s="10"/>
      <c r="O1754" s="7"/>
      <c r="P1754" s="7"/>
      <c r="Q1754" s="7"/>
      <c r="AB1754" s="7"/>
    </row>
    <row r="1755" spans="3:28" ht="13" x14ac:dyDescent="0.15">
      <c r="C1755" s="7"/>
      <c r="D1755" s="7"/>
      <c r="E1755" s="7"/>
      <c r="F1755" s="9"/>
      <c r="H1755" s="10"/>
      <c r="I1755" s="10"/>
      <c r="J1755" s="10"/>
      <c r="K1755" s="10"/>
      <c r="L1755" s="10"/>
      <c r="M1755" s="10"/>
      <c r="N1755" s="10"/>
      <c r="O1755" s="7"/>
      <c r="P1755" s="7"/>
      <c r="Q1755" s="7"/>
      <c r="AB1755" s="7"/>
    </row>
    <row r="1756" spans="3:28" ht="13" x14ac:dyDescent="0.15">
      <c r="C1756" s="7"/>
      <c r="D1756" s="7"/>
      <c r="E1756" s="7"/>
      <c r="F1756" s="9"/>
      <c r="H1756" s="10"/>
      <c r="I1756" s="10"/>
      <c r="J1756" s="10"/>
      <c r="K1756" s="10"/>
      <c r="L1756" s="10"/>
      <c r="M1756" s="10"/>
      <c r="N1756" s="10"/>
      <c r="O1756" s="7"/>
      <c r="P1756" s="7"/>
      <c r="Q1756" s="7"/>
      <c r="AB1756" s="7"/>
    </row>
    <row r="1757" spans="3:28" ht="13" x14ac:dyDescent="0.15">
      <c r="C1757" s="7"/>
      <c r="D1757" s="7"/>
      <c r="E1757" s="7"/>
      <c r="F1757" s="9"/>
      <c r="H1757" s="10"/>
      <c r="I1757" s="10"/>
      <c r="J1757" s="10"/>
      <c r="K1757" s="10"/>
      <c r="L1757" s="10"/>
      <c r="M1757" s="10"/>
      <c r="N1757" s="10"/>
      <c r="O1757" s="7"/>
      <c r="P1757" s="7"/>
      <c r="Q1757" s="7"/>
      <c r="AB1757" s="7"/>
    </row>
    <row r="1758" spans="3:28" ht="13" x14ac:dyDescent="0.15">
      <c r="C1758" s="7"/>
      <c r="D1758" s="7"/>
      <c r="E1758" s="7"/>
      <c r="F1758" s="9"/>
      <c r="H1758" s="10"/>
      <c r="I1758" s="10"/>
      <c r="J1758" s="10"/>
      <c r="K1758" s="10"/>
      <c r="L1758" s="10"/>
      <c r="M1758" s="10"/>
      <c r="N1758" s="10"/>
      <c r="O1758" s="7"/>
      <c r="P1758" s="7"/>
      <c r="Q1758" s="7"/>
      <c r="AB1758" s="7"/>
    </row>
    <row r="1759" spans="3:28" ht="13" x14ac:dyDescent="0.15">
      <c r="C1759" s="7"/>
      <c r="D1759" s="7"/>
      <c r="E1759" s="7"/>
      <c r="F1759" s="9"/>
      <c r="H1759" s="10"/>
      <c r="I1759" s="10"/>
      <c r="J1759" s="10"/>
      <c r="K1759" s="10"/>
      <c r="L1759" s="10"/>
      <c r="M1759" s="10"/>
      <c r="N1759" s="10"/>
      <c r="O1759" s="7"/>
      <c r="P1759" s="7"/>
      <c r="Q1759" s="7"/>
      <c r="AB1759" s="7"/>
    </row>
    <row r="1760" spans="3:28" ht="13" x14ac:dyDescent="0.15">
      <c r="C1760" s="7"/>
      <c r="D1760" s="7"/>
      <c r="E1760" s="7"/>
      <c r="F1760" s="9"/>
      <c r="H1760" s="10"/>
      <c r="I1760" s="10"/>
      <c r="J1760" s="10"/>
      <c r="K1760" s="10"/>
      <c r="L1760" s="10"/>
      <c r="M1760" s="10"/>
      <c r="N1760" s="10"/>
      <c r="O1760" s="7"/>
      <c r="P1760" s="7"/>
      <c r="Q1760" s="7"/>
      <c r="AB1760" s="7"/>
    </row>
    <row r="1761" spans="3:28" ht="13" x14ac:dyDescent="0.15">
      <c r="C1761" s="7"/>
      <c r="D1761" s="7"/>
      <c r="E1761" s="7"/>
      <c r="F1761" s="9"/>
      <c r="H1761" s="10"/>
      <c r="I1761" s="10"/>
      <c r="J1761" s="10"/>
      <c r="K1761" s="10"/>
      <c r="L1761" s="10"/>
      <c r="M1761" s="10"/>
      <c r="N1761" s="10"/>
      <c r="O1761" s="7"/>
      <c r="P1761" s="7"/>
      <c r="Q1761" s="7"/>
      <c r="AB1761" s="7"/>
    </row>
    <row r="1762" spans="3:28" ht="13" x14ac:dyDescent="0.15">
      <c r="C1762" s="7"/>
      <c r="D1762" s="7"/>
      <c r="E1762" s="7"/>
      <c r="F1762" s="9"/>
      <c r="H1762" s="10"/>
      <c r="I1762" s="10"/>
      <c r="J1762" s="10"/>
      <c r="K1762" s="10"/>
      <c r="L1762" s="10"/>
      <c r="M1762" s="10"/>
      <c r="N1762" s="10"/>
      <c r="O1762" s="7"/>
      <c r="P1762" s="7"/>
      <c r="Q1762" s="7"/>
      <c r="AB1762" s="7"/>
    </row>
    <row r="1763" spans="3:28" ht="13" x14ac:dyDescent="0.15">
      <c r="C1763" s="7"/>
      <c r="D1763" s="7"/>
      <c r="E1763" s="7"/>
      <c r="F1763" s="9"/>
      <c r="H1763" s="10"/>
      <c r="I1763" s="10"/>
      <c r="J1763" s="10"/>
      <c r="K1763" s="10"/>
      <c r="L1763" s="10"/>
      <c r="M1763" s="10"/>
      <c r="N1763" s="10"/>
      <c r="O1763" s="7"/>
      <c r="P1763" s="7"/>
      <c r="Q1763" s="7"/>
      <c r="AB1763" s="7"/>
    </row>
    <row r="1764" spans="3:28" ht="13" x14ac:dyDescent="0.15">
      <c r="C1764" s="7"/>
      <c r="D1764" s="7"/>
      <c r="E1764" s="7"/>
      <c r="F1764" s="9"/>
      <c r="H1764" s="10"/>
      <c r="I1764" s="10"/>
      <c r="J1764" s="10"/>
      <c r="K1764" s="10"/>
      <c r="L1764" s="10"/>
      <c r="M1764" s="10"/>
      <c r="N1764" s="10"/>
      <c r="O1764" s="7"/>
      <c r="P1764" s="7"/>
      <c r="Q1764" s="7"/>
      <c r="AB1764" s="7"/>
    </row>
    <row r="1765" spans="3:28" ht="13" x14ac:dyDescent="0.15">
      <c r="C1765" s="7"/>
      <c r="D1765" s="7"/>
      <c r="E1765" s="7"/>
      <c r="F1765" s="9"/>
      <c r="H1765" s="10"/>
      <c r="I1765" s="10"/>
      <c r="J1765" s="10"/>
      <c r="K1765" s="10"/>
      <c r="L1765" s="10"/>
      <c r="M1765" s="10"/>
      <c r="N1765" s="10"/>
      <c r="O1765" s="7"/>
      <c r="P1765" s="7"/>
      <c r="Q1765" s="7"/>
      <c r="AB1765" s="7"/>
    </row>
    <row r="1766" spans="3:28" ht="13" x14ac:dyDescent="0.15">
      <c r="C1766" s="7"/>
      <c r="D1766" s="7"/>
      <c r="E1766" s="7"/>
      <c r="F1766" s="9"/>
      <c r="H1766" s="10"/>
      <c r="I1766" s="10"/>
      <c r="J1766" s="10"/>
      <c r="K1766" s="10"/>
      <c r="L1766" s="10"/>
      <c r="M1766" s="10"/>
      <c r="N1766" s="10"/>
      <c r="O1766" s="7"/>
      <c r="P1766" s="7"/>
      <c r="Q1766" s="7"/>
      <c r="AB1766" s="7"/>
    </row>
    <row r="1767" spans="3:28" ht="13" x14ac:dyDescent="0.15">
      <c r="C1767" s="7"/>
      <c r="D1767" s="7"/>
      <c r="E1767" s="7"/>
      <c r="F1767" s="9"/>
      <c r="H1767" s="10"/>
      <c r="I1767" s="10"/>
      <c r="J1767" s="10"/>
      <c r="K1767" s="10"/>
      <c r="L1767" s="10"/>
      <c r="M1767" s="10"/>
      <c r="N1767" s="10"/>
      <c r="O1767" s="7"/>
      <c r="P1767" s="7"/>
      <c r="Q1767" s="7"/>
      <c r="AB1767" s="7"/>
    </row>
    <row r="1768" spans="3:28" ht="13" x14ac:dyDescent="0.15">
      <c r="C1768" s="7"/>
      <c r="D1768" s="7"/>
      <c r="E1768" s="7"/>
      <c r="F1768" s="9"/>
      <c r="H1768" s="10"/>
      <c r="I1768" s="10"/>
      <c r="J1768" s="10"/>
      <c r="K1768" s="10"/>
      <c r="L1768" s="10"/>
      <c r="M1768" s="10"/>
      <c r="N1768" s="10"/>
      <c r="O1768" s="7"/>
      <c r="P1768" s="7"/>
      <c r="Q1768" s="7"/>
      <c r="AB1768" s="7"/>
    </row>
    <row r="1769" spans="3:28" ht="13" x14ac:dyDescent="0.15">
      <c r="C1769" s="7"/>
      <c r="D1769" s="7"/>
      <c r="E1769" s="7"/>
      <c r="F1769" s="9"/>
      <c r="H1769" s="10"/>
      <c r="I1769" s="10"/>
      <c r="J1769" s="10"/>
      <c r="K1769" s="10"/>
      <c r="L1769" s="10"/>
      <c r="M1769" s="10"/>
      <c r="N1769" s="10"/>
      <c r="O1769" s="7"/>
      <c r="P1769" s="7"/>
      <c r="Q1769" s="7"/>
      <c r="AB1769" s="7"/>
    </row>
    <row r="1770" spans="3:28" ht="13" x14ac:dyDescent="0.15">
      <c r="C1770" s="7"/>
      <c r="D1770" s="7"/>
      <c r="E1770" s="7"/>
      <c r="F1770" s="9"/>
      <c r="H1770" s="10"/>
      <c r="I1770" s="10"/>
      <c r="J1770" s="10"/>
      <c r="K1770" s="10"/>
      <c r="L1770" s="10"/>
      <c r="M1770" s="10"/>
      <c r="N1770" s="10"/>
      <c r="O1770" s="7"/>
      <c r="P1770" s="7"/>
      <c r="Q1770" s="7"/>
      <c r="AB1770" s="7"/>
    </row>
    <row r="1771" spans="3:28" ht="13" x14ac:dyDescent="0.15">
      <c r="C1771" s="7"/>
      <c r="D1771" s="7"/>
      <c r="E1771" s="7"/>
      <c r="F1771" s="9"/>
      <c r="H1771" s="10"/>
      <c r="I1771" s="10"/>
      <c r="J1771" s="10"/>
      <c r="K1771" s="10"/>
      <c r="L1771" s="10"/>
      <c r="M1771" s="10"/>
      <c r="N1771" s="10"/>
      <c r="O1771" s="7"/>
      <c r="P1771" s="7"/>
      <c r="Q1771" s="7"/>
      <c r="AB1771" s="7"/>
    </row>
    <row r="1772" spans="3:28" ht="13" x14ac:dyDescent="0.15">
      <c r="C1772" s="7"/>
      <c r="D1772" s="7"/>
      <c r="E1772" s="7"/>
      <c r="F1772" s="9"/>
      <c r="H1772" s="10"/>
      <c r="I1772" s="10"/>
      <c r="J1772" s="10"/>
      <c r="K1772" s="10"/>
      <c r="L1772" s="10"/>
      <c r="M1772" s="10"/>
      <c r="N1772" s="10"/>
      <c r="O1772" s="7"/>
      <c r="P1772" s="7"/>
      <c r="Q1772" s="7"/>
      <c r="AB1772" s="7"/>
    </row>
    <row r="1773" spans="3:28" ht="13" x14ac:dyDescent="0.15">
      <c r="C1773" s="7"/>
      <c r="D1773" s="7"/>
      <c r="E1773" s="7"/>
      <c r="F1773" s="9"/>
      <c r="H1773" s="10"/>
      <c r="I1773" s="10"/>
      <c r="J1773" s="10"/>
      <c r="K1773" s="10"/>
      <c r="L1773" s="10"/>
      <c r="M1773" s="10"/>
      <c r="N1773" s="10"/>
      <c r="O1773" s="7"/>
      <c r="P1773" s="7"/>
      <c r="Q1773" s="7"/>
      <c r="AB1773" s="7"/>
    </row>
    <row r="1774" spans="3:28" ht="13" x14ac:dyDescent="0.15">
      <c r="C1774" s="7"/>
      <c r="D1774" s="7"/>
      <c r="E1774" s="7"/>
      <c r="F1774" s="9"/>
      <c r="H1774" s="10"/>
      <c r="I1774" s="10"/>
      <c r="J1774" s="10"/>
      <c r="K1774" s="10"/>
      <c r="L1774" s="10"/>
      <c r="M1774" s="10"/>
      <c r="N1774" s="10"/>
      <c r="O1774" s="7"/>
      <c r="P1774" s="7"/>
      <c r="Q1774" s="7"/>
      <c r="AB1774" s="7"/>
    </row>
    <row r="1775" spans="3:28" ht="13" x14ac:dyDescent="0.15">
      <c r="C1775" s="7"/>
      <c r="D1775" s="7"/>
      <c r="E1775" s="7"/>
      <c r="F1775" s="9"/>
      <c r="H1775" s="10"/>
      <c r="I1775" s="10"/>
      <c r="J1775" s="10"/>
      <c r="K1775" s="10"/>
      <c r="L1775" s="10"/>
      <c r="M1775" s="10"/>
      <c r="N1775" s="10"/>
      <c r="O1775" s="7"/>
      <c r="P1775" s="7"/>
      <c r="Q1775" s="7"/>
      <c r="AB1775" s="7"/>
    </row>
    <row r="1776" spans="3:28" ht="13" x14ac:dyDescent="0.15">
      <c r="C1776" s="7"/>
      <c r="D1776" s="7"/>
      <c r="E1776" s="7"/>
      <c r="F1776" s="9"/>
      <c r="H1776" s="10"/>
      <c r="I1776" s="10"/>
      <c r="J1776" s="10"/>
      <c r="K1776" s="10"/>
      <c r="L1776" s="10"/>
      <c r="M1776" s="10"/>
      <c r="N1776" s="10"/>
      <c r="O1776" s="7"/>
      <c r="P1776" s="7"/>
      <c r="Q1776" s="7"/>
      <c r="AB1776" s="7"/>
    </row>
    <row r="1777" spans="3:28" ht="13" x14ac:dyDescent="0.15">
      <c r="C1777" s="7"/>
      <c r="D1777" s="7"/>
      <c r="E1777" s="7"/>
      <c r="F1777" s="9"/>
      <c r="H1777" s="10"/>
      <c r="I1777" s="10"/>
      <c r="J1777" s="10"/>
      <c r="K1777" s="10"/>
      <c r="L1777" s="10"/>
      <c r="M1777" s="10"/>
      <c r="N1777" s="10"/>
      <c r="O1777" s="7"/>
      <c r="P1777" s="7"/>
      <c r="Q1777" s="7"/>
      <c r="AB1777" s="7"/>
    </row>
    <row r="1778" spans="3:28" ht="13" x14ac:dyDescent="0.15">
      <c r="C1778" s="7"/>
      <c r="D1778" s="7"/>
      <c r="E1778" s="7"/>
      <c r="F1778" s="9"/>
      <c r="H1778" s="10"/>
      <c r="I1778" s="10"/>
      <c r="J1778" s="10"/>
      <c r="K1778" s="10"/>
      <c r="L1778" s="10"/>
      <c r="M1778" s="10"/>
      <c r="N1778" s="10"/>
      <c r="O1778" s="7"/>
      <c r="P1778" s="7"/>
      <c r="Q1778" s="7"/>
      <c r="AB1778" s="7"/>
    </row>
    <row r="1779" spans="3:28" ht="13" x14ac:dyDescent="0.15">
      <c r="C1779" s="7"/>
      <c r="D1779" s="7"/>
      <c r="E1779" s="7"/>
      <c r="F1779" s="9"/>
      <c r="H1779" s="10"/>
      <c r="I1779" s="10"/>
      <c r="J1779" s="10"/>
      <c r="K1779" s="10"/>
      <c r="L1779" s="10"/>
      <c r="M1779" s="10"/>
      <c r="N1779" s="10"/>
      <c r="O1779" s="7"/>
      <c r="P1779" s="7"/>
      <c r="Q1779" s="7"/>
      <c r="AB1779" s="7"/>
    </row>
    <row r="1780" spans="3:28" ht="13" x14ac:dyDescent="0.15">
      <c r="C1780" s="7"/>
      <c r="D1780" s="7"/>
      <c r="E1780" s="7"/>
      <c r="F1780" s="9"/>
      <c r="H1780" s="10"/>
      <c r="I1780" s="10"/>
      <c r="J1780" s="10"/>
      <c r="K1780" s="10"/>
      <c r="L1780" s="10"/>
      <c r="M1780" s="10"/>
      <c r="N1780" s="10"/>
      <c r="O1780" s="7"/>
      <c r="P1780" s="7"/>
      <c r="Q1780" s="7"/>
      <c r="AB1780" s="7"/>
    </row>
    <row r="1781" spans="3:28" ht="13" x14ac:dyDescent="0.15">
      <c r="C1781" s="7"/>
      <c r="D1781" s="7"/>
      <c r="E1781" s="7"/>
      <c r="F1781" s="9"/>
      <c r="H1781" s="10"/>
      <c r="I1781" s="10"/>
      <c r="J1781" s="10"/>
      <c r="K1781" s="10"/>
      <c r="L1781" s="10"/>
      <c r="M1781" s="10"/>
      <c r="N1781" s="10"/>
      <c r="O1781" s="7"/>
      <c r="P1781" s="7"/>
      <c r="Q1781" s="7"/>
      <c r="AB1781" s="7"/>
    </row>
    <row r="1782" spans="3:28" ht="13" x14ac:dyDescent="0.15">
      <c r="C1782" s="7"/>
      <c r="D1782" s="7"/>
      <c r="E1782" s="7"/>
      <c r="F1782" s="9"/>
      <c r="H1782" s="10"/>
      <c r="I1782" s="10"/>
      <c r="J1782" s="10"/>
      <c r="K1782" s="10"/>
      <c r="L1782" s="10"/>
      <c r="M1782" s="10"/>
      <c r="N1782" s="10"/>
      <c r="O1782" s="7"/>
      <c r="P1782" s="7"/>
      <c r="Q1782" s="7"/>
      <c r="AB1782" s="7"/>
    </row>
    <row r="1783" spans="3:28" ht="13" x14ac:dyDescent="0.15">
      <c r="C1783" s="7"/>
      <c r="D1783" s="7"/>
      <c r="E1783" s="7"/>
      <c r="F1783" s="9"/>
      <c r="H1783" s="10"/>
      <c r="I1783" s="10"/>
      <c r="J1783" s="10"/>
      <c r="K1783" s="10"/>
      <c r="L1783" s="10"/>
      <c r="M1783" s="10"/>
      <c r="N1783" s="10"/>
      <c r="O1783" s="7"/>
      <c r="P1783" s="7"/>
      <c r="Q1783" s="7"/>
      <c r="AB1783" s="7"/>
    </row>
    <row r="1784" spans="3:28" ht="13" x14ac:dyDescent="0.15">
      <c r="C1784" s="7"/>
      <c r="D1784" s="7"/>
      <c r="E1784" s="7"/>
      <c r="F1784" s="9"/>
      <c r="H1784" s="10"/>
      <c r="I1784" s="10"/>
      <c r="J1784" s="10"/>
      <c r="K1784" s="10"/>
      <c r="L1784" s="10"/>
      <c r="M1784" s="10"/>
      <c r="N1784" s="10"/>
      <c r="O1784" s="7"/>
      <c r="P1784" s="7"/>
      <c r="Q1784" s="7"/>
      <c r="AB1784" s="7"/>
    </row>
    <row r="1785" spans="3:28" ht="13" x14ac:dyDescent="0.15">
      <c r="C1785" s="7"/>
      <c r="D1785" s="7"/>
      <c r="E1785" s="7"/>
      <c r="F1785" s="9"/>
      <c r="H1785" s="10"/>
      <c r="I1785" s="10"/>
      <c r="J1785" s="10"/>
      <c r="K1785" s="10"/>
      <c r="L1785" s="10"/>
      <c r="M1785" s="10"/>
      <c r="N1785" s="10"/>
      <c r="O1785" s="7"/>
      <c r="P1785" s="7"/>
      <c r="Q1785" s="7"/>
      <c r="AB1785" s="7"/>
    </row>
    <row r="1786" spans="3:28" ht="13" x14ac:dyDescent="0.15">
      <c r="C1786" s="7"/>
      <c r="D1786" s="7"/>
      <c r="E1786" s="7"/>
      <c r="F1786" s="9"/>
      <c r="H1786" s="10"/>
      <c r="I1786" s="10"/>
      <c r="J1786" s="10"/>
      <c r="K1786" s="10"/>
      <c r="L1786" s="10"/>
      <c r="M1786" s="10"/>
      <c r="N1786" s="10"/>
      <c r="O1786" s="7"/>
      <c r="P1786" s="7"/>
      <c r="Q1786" s="7"/>
      <c r="AB1786" s="7"/>
    </row>
    <row r="1787" spans="3:28" ht="13" x14ac:dyDescent="0.15">
      <c r="C1787" s="7"/>
      <c r="D1787" s="7"/>
      <c r="E1787" s="7"/>
      <c r="F1787" s="9"/>
      <c r="H1787" s="10"/>
      <c r="I1787" s="10"/>
      <c r="J1787" s="10"/>
      <c r="K1787" s="10"/>
      <c r="L1787" s="10"/>
      <c r="M1787" s="10"/>
      <c r="N1787" s="10"/>
      <c r="O1787" s="7"/>
      <c r="P1787" s="7"/>
      <c r="Q1787" s="7"/>
      <c r="AB1787" s="7"/>
    </row>
    <row r="1788" spans="3:28" ht="13" x14ac:dyDescent="0.15">
      <c r="C1788" s="7"/>
      <c r="D1788" s="7"/>
      <c r="E1788" s="7"/>
      <c r="F1788" s="9"/>
      <c r="H1788" s="10"/>
      <c r="I1788" s="10"/>
      <c r="J1788" s="10"/>
      <c r="K1788" s="10"/>
      <c r="L1788" s="10"/>
      <c r="M1788" s="10"/>
      <c r="N1788" s="10"/>
      <c r="O1788" s="7"/>
      <c r="P1788" s="7"/>
      <c r="Q1788" s="7"/>
      <c r="AB1788" s="7"/>
    </row>
    <row r="1789" spans="3:28" ht="13" x14ac:dyDescent="0.15">
      <c r="C1789" s="7"/>
      <c r="D1789" s="7"/>
      <c r="E1789" s="7"/>
      <c r="F1789" s="9"/>
      <c r="H1789" s="10"/>
      <c r="I1789" s="10"/>
      <c r="J1789" s="10"/>
      <c r="K1789" s="10"/>
      <c r="L1789" s="10"/>
      <c r="M1789" s="10"/>
      <c r="N1789" s="10"/>
      <c r="O1789" s="7"/>
      <c r="P1789" s="7"/>
      <c r="Q1789" s="7"/>
      <c r="AB1789" s="7"/>
    </row>
    <row r="1790" spans="3:28" ht="13" x14ac:dyDescent="0.15">
      <c r="C1790" s="7"/>
      <c r="D1790" s="7"/>
      <c r="E1790" s="7"/>
      <c r="F1790" s="9"/>
      <c r="H1790" s="10"/>
      <c r="I1790" s="10"/>
      <c r="J1790" s="10"/>
      <c r="K1790" s="10"/>
      <c r="L1790" s="10"/>
      <c r="M1790" s="10"/>
      <c r="N1790" s="10"/>
      <c r="O1790" s="7"/>
      <c r="P1790" s="7"/>
      <c r="Q1790" s="7"/>
      <c r="AB1790" s="7"/>
    </row>
    <row r="1791" spans="3:28" ht="13" x14ac:dyDescent="0.15">
      <c r="C1791" s="7"/>
      <c r="D1791" s="7"/>
      <c r="E1791" s="7"/>
      <c r="F1791" s="9"/>
      <c r="H1791" s="10"/>
      <c r="I1791" s="10"/>
      <c r="J1791" s="10"/>
      <c r="K1791" s="10"/>
      <c r="L1791" s="10"/>
      <c r="M1791" s="10"/>
      <c r="N1791" s="10"/>
      <c r="O1791" s="7"/>
      <c r="P1791" s="7"/>
      <c r="Q1791" s="7"/>
      <c r="AB1791" s="7"/>
    </row>
    <row r="1792" spans="3:28" ht="13" x14ac:dyDescent="0.15">
      <c r="C1792" s="7"/>
      <c r="D1792" s="7"/>
      <c r="E1792" s="7"/>
      <c r="F1792" s="9"/>
      <c r="H1792" s="10"/>
      <c r="I1792" s="10"/>
      <c r="J1792" s="10"/>
      <c r="K1792" s="10"/>
      <c r="L1792" s="10"/>
      <c r="M1792" s="10"/>
      <c r="N1792" s="10"/>
      <c r="O1792" s="7"/>
      <c r="P1792" s="7"/>
      <c r="Q1792" s="7"/>
      <c r="AB1792" s="7"/>
    </row>
    <row r="1793" spans="3:28" ht="13" x14ac:dyDescent="0.15">
      <c r="C1793" s="7"/>
      <c r="D1793" s="7"/>
      <c r="E1793" s="7"/>
      <c r="F1793" s="9"/>
      <c r="H1793" s="10"/>
      <c r="I1793" s="10"/>
      <c r="J1793" s="10"/>
      <c r="K1793" s="10"/>
      <c r="L1793" s="10"/>
      <c r="M1793" s="10"/>
      <c r="N1793" s="10"/>
      <c r="O1793" s="7"/>
      <c r="P1793" s="7"/>
      <c r="Q1793" s="7"/>
      <c r="AB1793" s="7"/>
    </row>
    <row r="1794" spans="3:28" ht="13" x14ac:dyDescent="0.15">
      <c r="C1794" s="7"/>
      <c r="D1794" s="7"/>
      <c r="E1794" s="7"/>
      <c r="F1794" s="9"/>
      <c r="H1794" s="10"/>
      <c r="I1794" s="10"/>
      <c r="J1794" s="10"/>
      <c r="K1794" s="10"/>
      <c r="L1794" s="10"/>
      <c r="M1794" s="10"/>
      <c r="N1794" s="10"/>
      <c r="O1794" s="7"/>
      <c r="P1794" s="7"/>
      <c r="Q1794" s="7"/>
      <c r="AB1794" s="7"/>
    </row>
    <row r="1795" spans="3:28" ht="13" x14ac:dyDescent="0.15">
      <c r="C1795" s="7"/>
      <c r="D1795" s="7"/>
      <c r="E1795" s="7"/>
      <c r="F1795" s="9"/>
      <c r="H1795" s="10"/>
      <c r="I1795" s="10"/>
      <c r="J1795" s="10"/>
      <c r="K1795" s="10"/>
      <c r="L1795" s="10"/>
      <c r="M1795" s="10"/>
      <c r="N1795" s="10"/>
      <c r="O1795" s="7"/>
      <c r="P1795" s="7"/>
      <c r="Q1795" s="7"/>
      <c r="AB1795" s="7"/>
    </row>
    <row r="1796" spans="3:28" ht="13" x14ac:dyDescent="0.15">
      <c r="C1796" s="7"/>
      <c r="D1796" s="7"/>
      <c r="E1796" s="7"/>
      <c r="F1796" s="9"/>
      <c r="H1796" s="10"/>
      <c r="I1796" s="10"/>
      <c r="J1796" s="10"/>
      <c r="K1796" s="10"/>
      <c r="L1796" s="10"/>
      <c r="M1796" s="10"/>
      <c r="N1796" s="10"/>
      <c r="O1796" s="7"/>
      <c r="P1796" s="7"/>
      <c r="Q1796" s="7"/>
      <c r="AB1796" s="7"/>
    </row>
    <row r="1797" spans="3:28" ht="13" x14ac:dyDescent="0.15">
      <c r="C1797" s="7"/>
      <c r="D1797" s="7"/>
      <c r="E1797" s="7"/>
      <c r="F1797" s="9"/>
      <c r="H1797" s="10"/>
      <c r="I1797" s="10"/>
      <c r="J1797" s="10"/>
      <c r="K1797" s="10"/>
      <c r="L1797" s="10"/>
      <c r="M1797" s="10"/>
      <c r="N1797" s="10"/>
      <c r="O1797" s="7"/>
      <c r="P1797" s="7"/>
      <c r="Q1797" s="7"/>
      <c r="AB1797" s="7"/>
    </row>
    <row r="1798" spans="3:28" ht="13" x14ac:dyDescent="0.15">
      <c r="C1798" s="7"/>
      <c r="D1798" s="7"/>
      <c r="E1798" s="7"/>
      <c r="F1798" s="9"/>
      <c r="H1798" s="10"/>
      <c r="I1798" s="10"/>
      <c r="J1798" s="10"/>
      <c r="K1798" s="10"/>
      <c r="L1798" s="10"/>
      <c r="M1798" s="10"/>
      <c r="N1798" s="10"/>
      <c r="O1798" s="7"/>
      <c r="P1798" s="7"/>
      <c r="Q1798" s="7"/>
      <c r="AB1798" s="7"/>
    </row>
    <row r="1799" spans="3:28" ht="13" x14ac:dyDescent="0.15">
      <c r="C1799" s="7"/>
      <c r="D1799" s="7"/>
      <c r="E1799" s="7"/>
      <c r="F1799" s="9"/>
      <c r="H1799" s="10"/>
      <c r="I1799" s="10"/>
      <c r="J1799" s="10"/>
      <c r="K1799" s="10"/>
      <c r="L1799" s="10"/>
      <c r="M1799" s="10"/>
      <c r="N1799" s="10"/>
      <c r="O1799" s="7"/>
      <c r="P1799" s="7"/>
      <c r="Q1799" s="7"/>
      <c r="AB1799" s="7"/>
    </row>
    <row r="1800" spans="3:28" ht="13" x14ac:dyDescent="0.15">
      <c r="C1800" s="7"/>
      <c r="D1800" s="7"/>
      <c r="E1800" s="7"/>
      <c r="F1800" s="9"/>
      <c r="H1800" s="10"/>
      <c r="I1800" s="10"/>
      <c r="J1800" s="10"/>
      <c r="K1800" s="10"/>
      <c r="L1800" s="10"/>
      <c r="M1800" s="10"/>
      <c r="N1800" s="10"/>
      <c r="O1800" s="7"/>
      <c r="P1800" s="7"/>
      <c r="Q1800" s="7"/>
      <c r="AB1800" s="7"/>
    </row>
    <row r="1801" spans="3:28" ht="13" x14ac:dyDescent="0.15">
      <c r="C1801" s="7"/>
      <c r="D1801" s="7"/>
      <c r="E1801" s="7"/>
      <c r="F1801" s="9"/>
      <c r="H1801" s="10"/>
      <c r="I1801" s="10"/>
      <c r="J1801" s="10"/>
      <c r="K1801" s="10"/>
      <c r="L1801" s="10"/>
      <c r="M1801" s="10"/>
      <c r="N1801" s="10"/>
      <c r="O1801" s="7"/>
      <c r="P1801" s="7"/>
      <c r="Q1801" s="7"/>
      <c r="AB1801" s="7"/>
    </row>
    <row r="1802" spans="3:28" ht="13" x14ac:dyDescent="0.15">
      <c r="C1802" s="7"/>
      <c r="D1802" s="7"/>
      <c r="E1802" s="7"/>
      <c r="F1802" s="9"/>
      <c r="H1802" s="10"/>
      <c r="I1802" s="10"/>
      <c r="J1802" s="10"/>
      <c r="K1802" s="10"/>
      <c r="L1802" s="10"/>
      <c r="M1802" s="10"/>
      <c r="N1802" s="10"/>
      <c r="O1802" s="7"/>
      <c r="P1802" s="7"/>
      <c r="Q1802" s="7"/>
      <c r="AB1802" s="7"/>
    </row>
    <row r="1803" spans="3:28" ht="13" x14ac:dyDescent="0.15">
      <c r="C1803" s="7"/>
      <c r="D1803" s="7"/>
      <c r="E1803" s="7"/>
      <c r="F1803" s="9"/>
      <c r="H1803" s="10"/>
      <c r="I1803" s="10"/>
      <c r="J1803" s="10"/>
      <c r="K1803" s="10"/>
      <c r="L1803" s="10"/>
      <c r="M1803" s="10"/>
      <c r="N1803" s="10"/>
      <c r="O1803" s="7"/>
      <c r="P1803" s="7"/>
      <c r="Q1803" s="7"/>
      <c r="AB1803" s="7"/>
    </row>
    <row r="1804" spans="3:28" ht="13" x14ac:dyDescent="0.15">
      <c r="C1804" s="7"/>
      <c r="D1804" s="7"/>
      <c r="E1804" s="7"/>
      <c r="F1804" s="9"/>
      <c r="H1804" s="10"/>
      <c r="I1804" s="10"/>
      <c r="J1804" s="10"/>
      <c r="K1804" s="10"/>
      <c r="L1804" s="10"/>
      <c r="M1804" s="10"/>
      <c r="N1804" s="10"/>
      <c r="O1804" s="7"/>
      <c r="P1804" s="7"/>
      <c r="Q1804" s="7"/>
      <c r="AB1804" s="7"/>
    </row>
    <row r="1805" spans="3:28" ht="13" x14ac:dyDescent="0.15">
      <c r="C1805" s="7"/>
      <c r="D1805" s="7"/>
      <c r="E1805" s="7"/>
      <c r="F1805" s="9"/>
      <c r="H1805" s="10"/>
      <c r="I1805" s="10"/>
      <c r="J1805" s="10"/>
      <c r="K1805" s="10"/>
      <c r="L1805" s="10"/>
      <c r="M1805" s="10"/>
      <c r="N1805" s="10"/>
      <c r="O1805" s="7"/>
      <c r="P1805" s="7"/>
      <c r="Q1805" s="7"/>
      <c r="AB1805" s="7"/>
    </row>
    <row r="1806" spans="3:28" ht="13" x14ac:dyDescent="0.15">
      <c r="C1806" s="7"/>
      <c r="D1806" s="7"/>
      <c r="E1806" s="7"/>
      <c r="F1806" s="9"/>
      <c r="H1806" s="10"/>
      <c r="I1806" s="10"/>
      <c r="J1806" s="10"/>
      <c r="K1806" s="10"/>
      <c r="L1806" s="10"/>
      <c r="M1806" s="10"/>
      <c r="N1806" s="10"/>
      <c r="O1806" s="7"/>
      <c r="P1806" s="7"/>
      <c r="Q1806" s="7"/>
      <c r="AB1806" s="7"/>
    </row>
    <row r="1807" spans="3:28" ht="13" x14ac:dyDescent="0.15">
      <c r="C1807" s="7"/>
      <c r="D1807" s="7"/>
      <c r="E1807" s="7"/>
      <c r="F1807" s="9"/>
      <c r="H1807" s="10"/>
      <c r="I1807" s="10"/>
      <c r="J1807" s="10"/>
      <c r="K1807" s="10"/>
      <c r="L1807" s="10"/>
      <c r="M1807" s="10"/>
      <c r="N1807" s="10"/>
      <c r="O1807" s="7"/>
      <c r="P1807" s="7"/>
      <c r="Q1807" s="7"/>
      <c r="AB1807" s="7"/>
    </row>
    <row r="1808" spans="3:28" ht="13" x14ac:dyDescent="0.15">
      <c r="C1808" s="7"/>
      <c r="D1808" s="7"/>
      <c r="E1808" s="7"/>
      <c r="F1808" s="9"/>
      <c r="H1808" s="10"/>
      <c r="I1808" s="10"/>
      <c r="J1808" s="10"/>
      <c r="K1808" s="10"/>
      <c r="L1808" s="10"/>
      <c r="M1808" s="10"/>
      <c r="N1808" s="10"/>
      <c r="O1808" s="7"/>
      <c r="P1808" s="7"/>
      <c r="Q1808" s="7"/>
      <c r="AB1808" s="7"/>
    </row>
    <row r="1809" spans="3:28" ht="13" x14ac:dyDescent="0.15">
      <c r="C1809" s="7"/>
      <c r="D1809" s="7"/>
      <c r="E1809" s="7"/>
      <c r="F1809" s="9"/>
      <c r="H1809" s="10"/>
      <c r="I1809" s="10"/>
      <c r="J1809" s="10"/>
      <c r="K1809" s="10"/>
      <c r="L1809" s="10"/>
      <c r="M1809" s="10"/>
      <c r="N1809" s="10"/>
      <c r="O1809" s="7"/>
      <c r="P1809" s="7"/>
      <c r="Q1809" s="7"/>
      <c r="AB1809" s="7"/>
    </row>
    <row r="1810" spans="3:28" ht="13" x14ac:dyDescent="0.15">
      <c r="C1810" s="7"/>
      <c r="D1810" s="7"/>
      <c r="E1810" s="7"/>
      <c r="F1810" s="9"/>
      <c r="H1810" s="10"/>
      <c r="I1810" s="10"/>
      <c r="J1810" s="10"/>
      <c r="K1810" s="10"/>
      <c r="L1810" s="10"/>
      <c r="M1810" s="10"/>
      <c r="N1810" s="10"/>
      <c r="O1810" s="7"/>
      <c r="P1810" s="7"/>
      <c r="Q1810" s="7"/>
      <c r="AB1810" s="7"/>
    </row>
    <row r="1811" spans="3:28" ht="13" x14ac:dyDescent="0.15">
      <c r="C1811" s="7"/>
      <c r="D1811" s="7"/>
      <c r="E1811" s="7"/>
      <c r="F1811" s="9"/>
      <c r="H1811" s="10"/>
      <c r="I1811" s="10"/>
      <c r="J1811" s="10"/>
      <c r="K1811" s="10"/>
      <c r="L1811" s="10"/>
      <c r="M1811" s="10"/>
      <c r="N1811" s="10"/>
      <c r="O1811" s="7"/>
      <c r="P1811" s="7"/>
      <c r="Q1811" s="7"/>
      <c r="AB1811" s="7"/>
    </row>
    <row r="1812" spans="3:28" ht="13" x14ac:dyDescent="0.15">
      <c r="C1812" s="7"/>
      <c r="D1812" s="7"/>
      <c r="E1812" s="7"/>
      <c r="F1812" s="9"/>
      <c r="H1812" s="10"/>
      <c r="I1812" s="10"/>
      <c r="J1812" s="10"/>
      <c r="K1812" s="10"/>
      <c r="L1812" s="10"/>
      <c r="M1812" s="10"/>
      <c r="N1812" s="10"/>
      <c r="O1812" s="7"/>
      <c r="P1812" s="7"/>
      <c r="Q1812" s="7"/>
      <c r="AB1812" s="7"/>
    </row>
    <row r="1813" spans="3:28" ht="13" x14ac:dyDescent="0.15">
      <c r="C1813" s="7"/>
      <c r="D1813" s="7"/>
      <c r="E1813" s="7"/>
      <c r="F1813" s="9"/>
      <c r="H1813" s="10"/>
      <c r="I1813" s="10"/>
      <c r="J1813" s="10"/>
      <c r="K1813" s="10"/>
      <c r="L1813" s="10"/>
      <c r="M1813" s="10"/>
      <c r="N1813" s="10"/>
      <c r="O1813" s="7"/>
      <c r="P1813" s="7"/>
      <c r="Q1813" s="7"/>
      <c r="AB1813" s="7"/>
    </row>
    <row r="1814" spans="3:28" ht="13" x14ac:dyDescent="0.15">
      <c r="C1814" s="7"/>
      <c r="D1814" s="7"/>
      <c r="E1814" s="7"/>
      <c r="F1814" s="9"/>
      <c r="H1814" s="10"/>
      <c r="I1814" s="10"/>
      <c r="J1814" s="10"/>
      <c r="K1814" s="10"/>
      <c r="L1814" s="10"/>
      <c r="M1814" s="10"/>
      <c r="N1814" s="10"/>
      <c r="O1814" s="7"/>
      <c r="P1814" s="7"/>
      <c r="Q1814" s="7"/>
      <c r="AB1814" s="7"/>
    </row>
    <row r="1815" spans="3:28" ht="13" x14ac:dyDescent="0.15">
      <c r="C1815" s="7"/>
      <c r="D1815" s="7"/>
      <c r="E1815" s="7"/>
      <c r="F1815" s="9"/>
      <c r="H1815" s="10"/>
      <c r="I1815" s="10"/>
      <c r="J1815" s="10"/>
      <c r="K1815" s="10"/>
      <c r="L1815" s="10"/>
      <c r="M1815" s="10"/>
      <c r="N1815" s="10"/>
      <c r="O1815" s="7"/>
      <c r="P1815" s="7"/>
      <c r="Q1815" s="7"/>
      <c r="AB1815" s="7"/>
    </row>
    <row r="1816" spans="3:28" ht="13" x14ac:dyDescent="0.15">
      <c r="C1816" s="7"/>
      <c r="D1816" s="7"/>
      <c r="E1816" s="7"/>
      <c r="F1816" s="9"/>
      <c r="H1816" s="10"/>
      <c r="I1816" s="10"/>
      <c r="J1816" s="10"/>
      <c r="K1816" s="10"/>
      <c r="L1816" s="10"/>
      <c r="M1816" s="10"/>
      <c r="N1816" s="10"/>
      <c r="O1816" s="7"/>
      <c r="P1816" s="7"/>
      <c r="Q1816" s="7"/>
      <c r="AB1816" s="7"/>
    </row>
    <row r="1817" spans="3:28" ht="13" x14ac:dyDescent="0.15">
      <c r="C1817" s="7"/>
      <c r="D1817" s="7"/>
      <c r="E1817" s="7"/>
      <c r="F1817" s="9"/>
      <c r="H1817" s="10"/>
      <c r="I1817" s="10"/>
      <c r="J1817" s="10"/>
      <c r="K1817" s="10"/>
      <c r="L1817" s="10"/>
      <c r="M1817" s="10"/>
      <c r="N1817" s="10"/>
      <c r="O1817" s="7"/>
      <c r="P1817" s="7"/>
      <c r="Q1817" s="7"/>
      <c r="AB1817" s="7"/>
    </row>
    <row r="1818" spans="3:28" ht="13" x14ac:dyDescent="0.15">
      <c r="C1818" s="7"/>
      <c r="D1818" s="7"/>
      <c r="E1818" s="7"/>
      <c r="F1818" s="9"/>
      <c r="H1818" s="10"/>
      <c r="I1818" s="10"/>
      <c r="J1818" s="10"/>
      <c r="K1818" s="10"/>
      <c r="L1818" s="10"/>
      <c r="M1818" s="10"/>
      <c r="N1818" s="10"/>
      <c r="O1818" s="7"/>
      <c r="P1818" s="7"/>
      <c r="Q1818" s="7"/>
      <c r="AB1818" s="7"/>
    </row>
    <row r="1819" spans="3:28" ht="13" x14ac:dyDescent="0.15">
      <c r="C1819" s="7"/>
      <c r="D1819" s="7"/>
      <c r="E1819" s="7"/>
      <c r="F1819" s="9"/>
      <c r="H1819" s="10"/>
      <c r="I1819" s="10"/>
      <c r="J1819" s="10"/>
      <c r="K1819" s="10"/>
      <c r="L1819" s="10"/>
      <c r="M1819" s="10"/>
      <c r="N1819" s="10"/>
      <c r="O1819" s="7"/>
      <c r="P1819" s="7"/>
      <c r="Q1819" s="7"/>
      <c r="AB1819" s="7"/>
    </row>
    <row r="1820" spans="3:28" ht="13" x14ac:dyDescent="0.15">
      <c r="C1820" s="7"/>
      <c r="D1820" s="7"/>
      <c r="E1820" s="7"/>
      <c r="F1820" s="9"/>
      <c r="H1820" s="10"/>
      <c r="I1820" s="10"/>
      <c r="J1820" s="10"/>
      <c r="K1820" s="10"/>
      <c r="L1820" s="10"/>
      <c r="M1820" s="10"/>
      <c r="N1820" s="10"/>
      <c r="O1820" s="7"/>
      <c r="P1820" s="7"/>
      <c r="Q1820" s="7"/>
      <c r="AB1820" s="7"/>
    </row>
    <row r="1821" spans="3:28" ht="13" x14ac:dyDescent="0.15">
      <c r="C1821" s="7"/>
      <c r="D1821" s="7"/>
      <c r="E1821" s="7"/>
      <c r="F1821" s="9"/>
      <c r="H1821" s="10"/>
      <c r="I1821" s="10"/>
      <c r="J1821" s="10"/>
      <c r="K1821" s="10"/>
      <c r="L1821" s="10"/>
      <c r="M1821" s="10"/>
      <c r="N1821" s="10"/>
      <c r="O1821" s="7"/>
      <c r="P1821" s="7"/>
      <c r="Q1821" s="7"/>
      <c r="AB1821" s="7"/>
    </row>
    <row r="1822" spans="3:28" ht="13" x14ac:dyDescent="0.15">
      <c r="C1822" s="7"/>
      <c r="D1822" s="7"/>
      <c r="E1822" s="7"/>
      <c r="F1822" s="9"/>
      <c r="H1822" s="10"/>
      <c r="I1822" s="10"/>
      <c r="J1822" s="10"/>
      <c r="K1822" s="10"/>
      <c r="L1822" s="10"/>
      <c r="M1822" s="10"/>
      <c r="N1822" s="10"/>
      <c r="O1822" s="7"/>
      <c r="P1822" s="7"/>
      <c r="Q1822" s="7"/>
      <c r="AB1822" s="7"/>
    </row>
    <row r="1823" spans="3:28" ht="13" x14ac:dyDescent="0.15">
      <c r="C1823" s="7"/>
      <c r="D1823" s="7"/>
      <c r="E1823" s="7"/>
      <c r="F1823" s="9"/>
      <c r="H1823" s="10"/>
      <c r="I1823" s="10"/>
      <c r="J1823" s="10"/>
      <c r="K1823" s="10"/>
      <c r="L1823" s="10"/>
      <c r="M1823" s="10"/>
      <c r="N1823" s="10"/>
      <c r="O1823" s="7"/>
      <c r="P1823" s="7"/>
      <c r="Q1823" s="7"/>
      <c r="AB1823" s="7"/>
    </row>
    <row r="1824" spans="3:28" ht="13" x14ac:dyDescent="0.15">
      <c r="C1824" s="7"/>
      <c r="D1824" s="7"/>
      <c r="E1824" s="7"/>
      <c r="F1824" s="9"/>
      <c r="H1824" s="10"/>
      <c r="I1824" s="10"/>
      <c r="J1824" s="10"/>
      <c r="K1824" s="10"/>
      <c r="L1824" s="10"/>
      <c r="M1824" s="10"/>
      <c r="N1824" s="10"/>
      <c r="O1824" s="7"/>
      <c r="P1824" s="7"/>
      <c r="Q1824" s="7"/>
      <c r="AB1824" s="7"/>
    </row>
    <row r="1825" spans="3:28" ht="13" x14ac:dyDescent="0.15">
      <c r="C1825" s="7"/>
      <c r="D1825" s="7"/>
      <c r="E1825" s="7"/>
      <c r="F1825" s="9"/>
      <c r="H1825" s="10"/>
      <c r="I1825" s="10"/>
      <c r="J1825" s="10"/>
      <c r="K1825" s="10"/>
      <c r="L1825" s="10"/>
      <c r="M1825" s="10"/>
      <c r="N1825" s="10"/>
      <c r="O1825" s="7"/>
      <c r="P1825" s="7"/>
      <c r="Q1825" s="7"/>
      <c r="AB1825" s="7"/>
    </row>
    <row r="1826" spans="3:28" ht="13" x14ac:dyDescent="0.15">
      <c r="C1826" s="7"/>
      <c r="D1826" s="7"/>
      <c r="E1826" s="7"/>
      <c r="F1826" s="9"/>
      <c r="H1826" s="10"/>
      <c r="I1826" s="10"/>
      <c r="J1826" s="10"/>
      <c r="K1826" s="10"/>
      <c r="L1826" s="10"/>
      <c r="M1826" s="10"/>
      <c r="N1826" s="10"/>
      <c r="O1826" s="7"/>
      <c r="P1826" s="7"/>
      <c r="Q1826" s="7"/>
      <c r="AB1826" s="7"/>
    </row>
    <row r="1827" spans="3:28" ht="13" x14ac:dyDescent="0.15">
      <c r="C1827" s="7"/>
      <c r="D1827" s="7"/>
      <c r="E1827" s="7"/>
      <c r="F1827" s="9"/>
      <c r="H1827" s="10"/>
      <c r="I1827" s="10"/>
      <c r="J1827" s="10"/>
      <c r="K1827" s="10"/>
      <c r="L1827" s="10"/>
      <c r="M1827" s="10"/>
      <c r="N1827" s="10"/>
      <c r="O1827" s="7"/>
      <c r="P1827" s="7"/>
      <c r="Q1827" s="7"/>
      <c r="AB1827" s="7"/>
    </row>
    <row r="1828" spans="3:28" ht="13" x14ac:dyDescent="0.15">
      <c r="C1828" s="7"/>
      <c r="D1828" s="7"/>
      <c r="E1828" s="7"/>
      <c r="F1828" s="9"/>
      <c r="H1828" s="10"/>
      <c r="I1828" s="10"/>
      <c r="J1828" s="10"/>
      <c r="K1828" s="10"/>
      <c r="L1828" s="10"/>
      <c r="M1828" s="10"/>
      <c r="N1828" s="10"/>
      <c r="O1828" s="7"/>
      <c r="P1828" s="7"/>
      <c r="Q1828" s="7"/>
      <c r="AB1828" s="7"/>
    </row>
    <row r="1829" spans="3:28" ht="13" x14ac:dyDescent="0.15">
      <c r="C1829" s="7"/>
      <c r="D1829" s="7"/>
      <c r="E1829" s="7"/>
      <c r="F1829" s="9"/>
      <c r="H1829" s="10"/>
      <c r="I1829" s="10"/>
      <c r="J1829" s="10"/>
      <c r="K1829" s="10"/>
      <c r="L1829" s="10"/>
      <c r="M1829" s="10"/>
      <c r="N1829" s="10"/>
      <c r="O1829" s="7"/>
      <c r="P1829" s="7"/>
      <c r="Q1829" s="7"/>
      <c r="AB1829" s="7"/>
    </row>
    <row r="1830" spans="3:28" ht="13" x14ac:dyDescent="0.15">
      <c r="C1830" s="7"/>
      <c r="D1830" s="7"/>
      <c r="E1830" s="7"/>
      <c r="F1830" s="9"/>
      <c r="H1830" s="10"/>
      <c r="I1830" s="10"/>
      <c r="J1830" s="10"/>
      <c r="K1830" s="10"/>
      <c r="L1830" s="10"/>
      <c r="M1830" s="10"/>
      <c r="N1830" s="10"/>
      <c r="O1830" s="7"/>
      <c r="P1830" s="7"/>
      <c r="Q1830" s="7"/>
      <c r="AB1830" s="7"/>
    </row>
    <row r="1831" spans="3:28" ht="13" x14ac:dyDescent="0.15">
      <c r="C1831" s="7"/>
      <c r="D1831" s="7"/>
      <c r="E1831" s="7"/>
      <c r="F1831" s="9"/>
      <c r="H1831" s="10"/>
      <c r="I1831" s="10"/>
      <c r="J1831" s="10"/>
      <c r="K1831" s="10"/>
      <c r="L1831" s="10"/>
      <c r="M1831" s="10"/>
      <c r="N1831" s="10"/>
      <c r="O1831" s="7"/>
      <c r="P1831" s="7"/>
      <c r="Q1831" s="7"/>
      <c r="AB1831" s="7"/>
    </row>
    <row r="1832" spans="3:28" ht="13" x14ac:dyDescent="0.15">
      <c r="C1832" s="7"/>
      <c r="D1832" s="7"/>
      <c r="E1832" s="7"/>
      <c r="F1832" s="9"/>
      <c r="H1832" s="10"/>
      <c r="I1832" s="10"/>
      <c r="J1832" s="10"/>
      <c r="K1832" s="10"/>
      <c r="L1832" s="10"/>
      <c r="M1832" s="10"/>
      <c r="N1832" s="10"/>
      <c r="O1832" s="7"/>
      <c r="P1832" s="7"/>
      <c r="Q1832" s="7"/>
      <c r="AB1832" s="7"/>
    </row>
    <row r="1833" spans="3:28" ht="13" x14ac:dyDescent="0.15">
      <c r="C1833" s="7"/>
      <c r="D1833" s="7"/>
      <c r="E1833" s="7"/>
      <c r="F1833" s="9"/>
      <c r="H1833" s="10"/>
      <c r="I1833" s="10"/>
      <c r="J1833" s="10"/>
      <c r="K1833" s="10"/>
      <c r="L1833" s="10"/>
      <c r="M1833" s="10"/>
      <c r="N1833" s="10"/>
      <c r="O1833" s="7"/>
      <c r="P1833" s="7"/>
      <c r="Q1833" s="7"/>
      <c r="AB1833" s="7"/>
    </row>
    <row r="1834" spans="3:28" ht="13" x14ac:dyDescent="0.15">
      <c r="C1834" s="7"/>
      <c r="D1834" s="7"/>
      <c r="E1834" s="7"/>
      <c r="F1834" s="9"/>
      <c r="H1834" s="10"/>
      <c r="I1834" s="10"/>
      <c r="J1834" s="10"/>
      <c r="K1834" s="10"/>
      <c r="L1834" s="10"/>
      <c r="M1834" s="10"/>
      <c r="N1834" s="10"/>
      <c r="O1834" s="7"/>
      <c r="P1834" s="7"/>
      <c r="Q1834" s="7"/>
      <c r="AB1834" s="7"/>
    </row>
    <row r="1835" spans="3:28" ht="13" x14ac:dyDescent="0.15">
      <c r="C1835" s="7"/>
      <c r="D1835" s="7"/>
      <c r="E1835" s="7"/>
      <c r="F1835" s="9"/>
      <c r="H1835" s="10"/>
      <c r="I1835" s="10"/>
      <c r="J1835" s="10"/>
      <c r="K1835" s="10"/>
      <c r="L1835" s="10"/>
      <c r="M1835" s="10"/>
      <c r="N1835" s="10"/>
      <c r="O1835" s="7"/>
      <c r="P1835" s="7"/>
      <c r="Q1835" s="7"/>
      <c r="AB1835" s="7"/>
    </row>
    <row r="1836" spans="3:28" ht="13" x14ac:dyDescent="0.15">
      <c r="C1836" s="7"/>
      <c r="D1836" s="7"/>
      <c r="E1836" s="7"/>
      <c r="F1836" s="9"/>
      <c r="H1836" s="10"/>
      <c r="I1836" s="10"/>
      <c r="J1836" s="10"/>
      <c r="K1836" s="10"/>
      <c r="L1836" s="10"/>
      <c r="M1836" s="10"/>
      <c r="N1836" s="10"/>
      <c r="O1836" s="7"/>
      <c r="P1836" s="7"/>
      <c r="Q1836" s="7"/>
      <c r="AB1836" s="7"/>
    </row>
    <row r="1837" spans="3:28" ht="13" x14ac:dyDescent="0.15">
      <c r="C1837" s="7"/>
      <c r="D1837" s="7"/>
      <c r="E1837" s="7"/>
      <c r="F1837" s="9"/>
      <c r="H1837" s="10"/>
      <c r="I1837" s="10"/>
      <c r="J1837" s="10"/>
      <c r="K1837" s="10"/>
      <c r="L1837" s="10"/>
      <c r="M1837" s="10"/>
      <c r="N1837" s="10"/>
      <c r="O1837" s="7"/>
      <c r="P1837" s="7"/>
      <c r="Q1837" s="7"/>
      <c r="AB1837" s="7"/>
    </row>
    <row r="1838" spans="3:28" ht="13" x14ac:dyDescent="0.15">
      <c r="C1838" s="7"/>
      <c r="D1838" s="7"/>
      <c r="E1838" s="7"/>
      <c r="F1838" s="9"/>
      <c r="H1838" s="10"/>
      <c r="I1838" s="10"/>
      <c r="J1838" s="10"/>
      <c r="K1838" s="10"/>
      <c r="L1838" s="10"/>
      <c r="M1838" s="10"/>
      <c r="N1838" s="10"/>
      <c r="O1838" s="7"/>
      <c r="P1838" s="7"/>
      <c r="Q1838" s="7"/>
      <c r="AB1838" s="7"/>
    </row>
    <row r="1839" spans="3:28" ht="13" x14ac:dyDescent="0.15">
      <c r="C1839" s="7"/>
      <c r="D1839" s="7"/>
      <c r="E1839" s="7"/>
      <c r="F1839" s="9"/>
      <c r="H1839" s="10"/>
      <c r="I1839" s="10"/>
      <c r="J1839" s="10"/>
      <c r="K1839" s="10"/>
      <c r="L1839" s="10"/>
      <c r="M1839" s="10"/>
      <c r="N1839" s="10"/>
      <c r="O1839" s="7"/>
      <c r="P1839" s="7"/>
      <c r="Q1839" s="7"/>
      <c r="AB1839" s="7"/>
    </row>
    <row r="1840" spans="3:28" ht="13" x14ac:dyDescent="0.15">
      <c r="C1840" s="7"/>
      <c r="D1840" s="7"/>
      <c r="E1840" s="7"/>
      <c r="F1840" s="9"/>
      <c r="H1840" s="10"/>
      <c r="I1840" s="10"/>
      <c r="J1840" s="10"/>
      <c r="K1840" s="10"/>
      <c r="L1840" s="10"/>
      <c r="M1840" s="10"/>
      <c r="N1840" s="10"/>
      <c r="O1840" s="7"/>
      <c r="P1840" s="7"/>
      <c r="Q1840" s="7"/>
      <c r="AB1840" s="7"/>
    </row>
    <row r="1841" spans="3:28" ht="13" x14ac:dyDescent="0.15">
      <c r="C1841" s="7"/>
      <c r="D1841" s="7"/>
      <c r="E1841" s="7"/>
      <c r="F1841" s="9"/>
      <c r="H1841" s="10"/>
      <c r="I1841" s="10"/>
      <c r="J1841" s="10"/>
      <c r="K1841" s="10"/>
      <c r="L1841" s="10"/>
      <c r="M1841" s="10"/>
      <c r="N1841" s="10"/>
      <c r="O1841" s="7"/>
      <c r="P1841" s="7"/>
      <c r="Q1841" s="7"/>
      <c r="AB1841" s="7"/>
    </row>
    <row r="1842" spans="3:28" ht="13" x14ac:dyDescent="0.15">
      <c r="C1842" s="7"/>
      <c r="D1842" s="7"/>
      <c r="E1842" s="7"/>
      <c r="F1842" s="9"/>
      <c r="H1842" s="10"/>
      <c r="I1842" s="10"/>
      <c r="J1842" s="10"/>
      <c r="K1842" s="10"/>
      <c r="L1842" s="10"/>
      <c r="M1842" s="10"/>
      <c r="N1842" s="10"/>
      <c r="O1842" s="7"/>
      <c r="P1842" s="7"/>
      <c r="Q1842" s="7"/>
      <c r="AB1842" s="7"/>
    </row>
    <row r="1843" spans="3:28" ht="13" x14ac:dyDescent="0.15">
      <c r="C1843" s="7"/>
      <c r="D1843" s="7"/>
      <c r="E1843" s="7"/>
      <c r="F1843" s="9"/>
      <c r="H1843" s="10"/>
      <c r="I1843" s="10"/>
      <c r="J1843" s="10"/>
      <c r="K1843" s="10"/>
      <c r="L1843" s="10"/>
      <c r="M1843" s="10"/>
      <c r="N1843" s="10"/>
      <c r="O1843" s="7"/>
      <c r="P1843" s="7"/>
      <c r="Q1843" s="7"/>
      <c r="AB1843" s="7"/>
    </row>
    <row r="1844" spans="3:28" ht="13" x14ac:dyDescent="0.15">
      <c r="C1844" s="7"/>
      <c r="D1844" s="7"/>
      <c r="E1844" s="7"/>
      <c r="F1844" s="9"/>
      <c r="H1844" s="10"/>
      <c r="I1844" s="10"/>
      <c r="J1844" s="10"/>
      <c r="K1844" s="10"/>
      <c r="L1844" s="10"/>
      <c r="M1844" s="10"/>
      <c r="N1844" s="10"/>
      <c r="O1844" s="7"/>
      <c r="P1844" s="7"/>
      <c r="Q1844" s="7"/>
      <c r="AB1844" s="7"/>
    </row>
    <row r="1845" spans="3:28" ht="13" x14ac:dyDescent="0.15">
      <c r="C1845" s="7"/>
      <c r="D1845" s="7"/>
      <c r="E1845" s="7"/>
      <c r="F1845" s="9"/>
      <c r="H1845" s="10"/>
      <c r="I1845" s="10"/>
      <c r="J1845" s="10"/>
      <c r="K1845" s="10"/>
      <c r="L1845" s="10"/>
      <c r="M1845" s="10"/>
      <c r="N1845" s="10"/>
      <c r="O1845" s="7"/>
      <c r="P1845" s="7"/>
      <c r="Q1845" s="7"/>
      <c r="AB1845" s="7"/>
    </row>
    <row r="1846" spans="3:28" ht="13" x14ac:dyDescent="0.15">
      <c r="C1846" s="7"/>
      <c r="D1846" s="7"/>
      <c r="E1846" s="7"/>
      <c r="F1846" s="9"/>
      <c r="H1846" s="10"/>
      <c r="I1846" s="10"/>
      <c r="J1846" s="10"/>
      <c r="K1846" s="10"/>
      <c r="L1846" s="10"/>
      <c r="M1846" s="10"/>
      <c r="N1846" s="10"/>
      <c r="O1846" s="7"/>
      <c r="P1846" s="7"/>
      <c r="Q1846" s="7"/>
      <c r="AB1846" s="7"/>
    </row>
    <row r="1847" spans="3:28" ht="13" x14ac:dyDescent="0.15">
      <c r="C1847" s="7"/>
      <c r="D1847" s="7"/>
      <c r="E1847" s="7"/>
      <c r="F1847" s="9"/>
      <c r="H1847" s="10"/>
      <c r="I1847" s="10"/>
      <c r="J1847" s="10"/>
      <c r="K1847" s="10"/>
      <c r="L1847" s="10"/>
      <c r="M1847" s="10"/>
      <c r="N1847" s="10"/>
      <c r="O1847" s="7"/>
      <c r="P1847" s="7"/>
      <c r="Q1847" s="7"/>
      <c r="AB1847" s="7"/>
    </row>
    <row r="1848" spans="3:28" ht="13" x14ac:dyDescent="0.15">
      <c r="C1848" s="7"/>
      <c r="D1848" s="7"/>
      <c r="E1848" s="7"/>
      <c r="F1848" s="9"/>
      <c r="H1848" s="10"/>
      <c r="I1848" s="10"/>
      <c r="J1848" s="10"/>
      <c r="K1848" s="10"/>
      <c r="L1848" s="10"/>
      <c r="M1848" s="10"/>
      <c r="N1848" s="10"/>
      <c r="O1848" s="7"/>
      <c r="P1848" s="7"/>
      <c r="Q1848" s="7"/>
      <c r="AB1848" s="7"/>
    </row>
    <row r="1849" spans="3:28" ht="13" x14ac:dyDescent="0.15">
      <c r="C1849" s="7"/>
      <c r="D1849" s="7"/>
      <c r="E1849" s="7"/>
      <c r="F1849" s="9"/>
      <c r="H1849" s="10"/>
      <c r="I1849" s="10"/>
      <c r="J1849" s="10"/>
      <c r="K1849" s="10"/>
      <c r="L1849" s="10"/>
      <c r="M1849" s="10"/>
      <c r="N1849" s="10"/>
      <c r="O1849" s="7"/>
      <c r="P1849" s="7"/>
      <c r="Q1849" s="7"/>
      <c r="AB1849" s="7"/>
    </row>
    <row r="1850" spans="3:28" ht="13" x14ac:dyDescent="0.15">
      <c r="C1850" s="7"/>
      <c r="D1850" s="7"/>
      <c r="E1850" s="7"/>
      <c r="F1850" s="9"/>
      <c r="H1850" s="10"/>
      <c r="I1850" s="10"/>
      <c r="J1850" s="10"/>
      <c r="K1850" s="10"/>
      <c r="L1850" s="10"/>
      <c r="M1850" s="10"/>
      <c r="N1850" s="10"/>
      <c r="O1850" s="7"/>
      <c r="P1850" s="7"/>
      <c r="Q1850" s="7"/>
      <c r="AB1850" s="7"/>
    </row>
    <row r="1851" spans="3:28" ht="13" x14ac:dyDescent="0.15">
      <c r="C1851" s="7"/>
      <c r="D1851" s="7"/>
      <c r="E1851" s="7"/>
      <c r="F1851" s="9"/>
      <c r="H1851" s="10"/>
      <c r="I1851" s="10"/>
      <c r="J1851" s="10"/>
      <c r="K1851" s="10"/>
      <c r="L1851" s="10"/>
      <c r="M1851" s="10"/>
      <c r="N1851" s="10"/>
      <c r="O1851" s="7"/>
      <c r="P1851" s="7"/>
      <c r="Q1851" s="7"/>
      <c r="AB1851" s="7"/>
    </row>
    <row r="1852" spans="3:28" ht="13" x14ac:dyDescent="0.15">
      <c r="C1852" s="7"/>
      <c r="D1852" s="7"/>
      <c r="E1852" s="7"/>
      <c r="F1852" s="9"/>
      <c r="H1852" s="10"/>
      <c r="I1852" s="10"/>
      <c r="J1852" s="10"/>
      <c r="K1852" s="10"/>
      <c r="L1852" s="10"/>
      <c r="M1852" s="10"/>
      <c r="N1852" s="10"/>
      <c r="O1852" s="7"/>
      <c r="P1852" s="7"/>
      <c r="Q1852" s="7"/>
      <c r="AB1852" s="7"/>
    </row>
    <row r="1853" spans="3:28" ht="13" x14ac:dyDescent="0.15">
      <c r="C1853" s="7"/>
      <c r="D1853" s="7"/>
      <c r="E1853" s="7"/>
      <c r="F1853" s="9"/>
      <c r="H1853" s="10"/>
      <c r="I1853" s="10"/>
      <c r="J1853" s="10"/>
      <c r="K1853" s="10"/>
      <c r="L1853" s="10"/>
      <c r="M1853" s="10"/>
      <c r="N1853" s="10"/>
      <c r="O1853" s="7"/>
      <c r="P1853" s="7"/>
      <c r="Q1853" s="7"/>
      <c r="AB1853" s="7"/>
    </row>
    <row r="1854" spans="3:28" ht="13" x14ac:dyDescent="0.15">
      <c r="C1854" s="7"/>
      <c r="D1854" s="7"/>
      <c r="E1854" s="7"/>
      <c r="F1854" s="9"/>
      <c r="H1854" s="10"/>
      <c r="I1854" s="10"/>
      <c r="J1854" s="10"/>
      <c r="K1854" s="10"/>
      <c r="L1854" s="10"/>
      <c r="M1854" s="10"/>
      <c r="N1854" s="10"/>
      <c r="O1854" s="7"/>
      <c r="P1854" s="7"/>
      <c r="Q1854" s="7"/>
      <c r="AB1854" s="7"/>
    </row>
    <row r="1855" spans="3:28" ht="13" x14ac:dyDescent="0.15">
      <c r="C1855" s="7"/>
      <c r="D1855" s="7"/>
      <c r="E1855" s="7"/>
      <c r="F1855" s="9"/>
      <c r="H1855" s="10"/>
      <c r="I1855" s="10"/>
      <c r="J1855" s="10"/>
      <c r="K1855" s="10"/>
      <c r="L1855" s="10"/>
      <c r="M1855" s="10"/>
      <c r="N1855" s="10"/>
      <c r="O1855" s="7"/>
      <c r="P1855" s="7"/>
      <c r="Q1855" s="7"/>
      <c r="AB1855" s="7"/>
    </row>
    <row r="1856" spans="3:28" ht="13" x14ac:dyDescent="0.15">
      <c r="C1856" s="7"/>
      <c r="D1856" s="7"/>
      <c r="E1856" s="7"/>
      <c r="F1856" s="9"/>
      <c r="H1856" s="10"/>
      <c r="I1856" s="10"/>
      <c r="J1856" s="10"/>
      <c r="K1856" s="10"/>
      <c r="L1856" s="10"/>
      <c r="M1856" s="10"/>
      <c r="N1856" s="10"/>
      <c r="O1856" s="7"/>
      <c r="P1856" s="7"/>
      <c r="Q1856" s="7"/>
      <c r="AB1856" s="7"/>
    </row>
    <row r="1857" spans="3:28" ht="13" x14ac:dyDescent="0.15">
      <c r="C1857" s="7"/>
      <c r="D1857" s="7"/>
      <c r="E1857" s="7"/>
      <c r="F1857" s="9"/>
      <c r="H1857" s="10"/>
      <c r="I1857" s="10"/>
      <c r="J1857" s="10"/>
      <c r="K1857" s="10"/>
      <c r="L1857" s="10"/>
      <c r="M1857" s="10"/>
      <c r="N1857" s="10"/>
      <c r="O1857" s="7"/>
      <c r="P1857" s="7"/>
      <c r="Q1857" s="7"/>
      <c r="AB1857" s="7"/>
    </row>
    <row r="1858" spans="3:28" ht="13" x14ac:dyDescent="0.15">
      <c r="C1858" s="7"/>
      <c r="D1858" s="7"/>
      <c r="E1858" s="7"/>
      <c r="F1858" s="9"/>
      <c r="H1858" s="10"/>
      <c r="I1858" s="10"/>
      <c r="J1858" s="10"/>
      <c r="K1858" s="10"/>
      <c r="L1858" s="10"/>
      <c r="M1858" s="10"/>
      <c r="N1858" s="10"/>
      <c r="O1858" s="7"/>
      <c r="P1858" s="7"/>
      <c r="Q1858" s="7"/>
      <c r="AB1858" s="7"/>
    </row>
    <row r="1859" spans="3:28" ht="13" x14ac:dyDescent="0.15">
      <c r="C1859" s="7"/>
      <c r="D1859" s="7"/>
      <c r="E1859" s="7"/>
      <c r="F1859" s="9"/>
      <c r="H1859" s="10"/>
      <c r="I1859" s="10"/>
      <c r="J1859" s="10"/>
      <c r="K1859" s="10"/>
      <c r="L1859" s="10"/>
      <c r="M1859" s="10"/>
      <c r="N1859" s="10"/>
      <c r="O1859" s="7"/>
      <c r="P1859" s="7"/>
      <c r="Q1859" s="7"/>
      <c r="AB1859" s="7"/>
    </row>
    <row r="1860" spans="3:28" ht="13" x14ac:dyDescent="0.15">
      <c r="C1860" s="7"/>
      <c r="D1860" s="7"/>
      <c r="E1860" s="7"/>
      <c r="F1860" s="9"/>
      <c r="H1860" s="10"/>
      <c r="I1860" s="10"/>
      <c r="J1860" s="10"/>
      <c r="K1860" s="10"/>
      <c r="L1860" s="10"/>
      <c r="M1860" s="10"/>
      <c r="N1860" s="10"/>
      <c r="O1860" s="7"/>
      <c r="P1860" s="7"/>
      <c r="Q1860" s="7"/>
      <c r="AB1860" s="7"/>
    </row>
    <row r="1861" spans="3:28" ht="13" x14ac:dyDescent="0.15">
      <c r="C1861" s="7"/>
      <c r="D1861" s="7"/>
      <c r="E1861" s="7"/>
      <c r="F1861" s="9"/>
      <c r="H1861" s="10"/>
      <c r="I1861" s="10"/>
      <c r="J1861" s="10"/>
      <c r="K1861" s="10"/>
      <c r="L1861" s="10"/>
      <c r="M1861" s="10"/>
      <c r="N1861" s="10"/>
      <c r="O1861" s="7"/>
      <c r="P1861" s="7"/>
      <c r="Q1861" s="7"/>
      <c r="AB1861" s="7"/>
    </row>
    <row r="1862" spans="3:28" ht="13" x14ac:dyDescent="0.15">
      <c r="C1862" s="7"/>
      <c r="D1862" s="7"/>
      <c r="E1862" s="7"/>
      <c r="F1862" s="9"/>
      <c r="H1862" s="10"/>
      <c r="I1862" s="10"/>
      <c r="J1862" s="10"/>
      <c r="K1862" s="10"/>
      <c r="L1862" s="10"/>
      <c r="M1862" s="10"/>
      <c r="N1862" s="10"/>
      <c r="O1862" s="7"/>
      <c r="P1862" s="7"/>
      <c r="Q1862" s="7"/>
      <c r="AB1862" s="7"/>
    </row>
    <row r="1863" spans="3:28" ht="13" x14ac:dyDescent="0.15">
      <c r="C1863" s="7"/>
      <c r="D1863" s="7"/>
      <c r="E1863" s="7"/>
      <c r="F1863" s="9"/>
      <c r="H1863" s="10"/>
      <c r="I1863" s="10"/>
      <c r="J1863" s="10"/>
      <c r="K1863" s="10"/>
      <c r="L1863" s="10"/>
      <c r="M1863" s="10"/>
      <c r="N1863" s="10"/>
      <c r="O1863" s="7"/>
      <c r="P1863" s="7"/>
      <c r="Q1863" s="7"/>
      <c r="AB1863" s="7"/>
    </row>
    <row r="1864" spans="3:28" ht="13" x14ac:dyDescent="0.15">
      <c r="C1864" s="7"/>
      <c r="D1864" s="7"/>
      <c r="E1864" s="7"/>
      <c r="F1864" s="9"/>
      <c r="H1864" s="10"/>
      <c r="I1864" s="10"/>
      <c r="J1864" s="10"/>
      <c r="K1864" s="10"/>
      <c r="L1864" s="10"/>
      <c r="M1864" s="10"/>
      <c r="N1864" s="10"/>
      <c r="O1864" s="7"/>
      <c r="P1864" s="7"/>
      <c r="Q1864" s="7"/>
      <c r="AB1864" s="7"/>
    </row>
    <row r="1865" spans="3:28" ht="13" x14ac:dyDescent="0.15">
      <c r="C1865" s="7"/>
      <c r="D1865" s="7"/>
      <c r="E1865" s="7"/>
      <c r="F1865" s="9"/>
      <c r="H1865" s="10"/>
      <c r="I1865" s="10"/>
      <c r="J1865" s="10"/>
      <c r="K1865" s="10"/>
      <c r="L1865" s="10"/>
      <c r="M1865" s="10"/>
      <c r="N1865" s="10"/>
      <c r="O1865" s="7"/>
      <c r="P1865" s="7"/>
      <c r="Q1865" s="7"/>
      <c r="AB1865" s="7"/>
    </row>
    <row r="1866" spans="3:28" ht="13" x14ac:dyDescent="0.15">
      <c r="C1866" s="7"/>
      <c r="D1866" s="7"/>
      <c r="E1866" s="7"/>
      <c r="F1866" s="9"/>
      <c r="H1866" s="10"/>
      <c r="I1866" s="10"/>
      <c r="J1866" s="10"/>
      <c r="K1866" s="10"/>
      <c r="L1866" s="10"/>
      <c r="M1866" s="10"/>
      <c r="N1866" s="10"/>
      <c r="O1866" s="7"/>
      <c r="P1866" s="7"/>
      <c r="Q1866" s="7"/>
      <c r="AB1866" s="7"/>
    </row>
    <row r="1867" spans="3:28" ht="13" x14ac:dyDescent="0.15">
      <c r="C1867" s="7"/>
      <c r="D1867" s="7"/>
      <c r="E1867" s="7"/>
      <c r="F1867" s="9"/>
      <c r="H1867" s="10"/>
      <c r="I1867" s="10"/>
      <c r="J1867" s="10"/>
      <c r="K1867" s="10"/>
      <c r="L1867" s="10"/>
      <c r="M1867" s="10"/>
      <c r="N1867" s="10"/>
      <c r="O1867" s="7"/>
      <c r="P1867" s="7"/>
      <c r="Q1867" s="7"/>
      <c r="AB1867" s="7"/>
    </row>
    <row r="1868" spans="3:28" ht="13" x14ac:dyDescent="0.15">
      <c r="C1868" s="7"/>
      <c r="D1868" s="7"/>
      <c r="E1868" s="7"/>
      <c r="F1868" s="9"/>
      <c r="H1868" s="10"/>
      <c r="I1868" s="10"/>
      <c r="J1868" s="10"/>
      <c r="K1868" s="10"/>
      <c r="L1868" s="10"/>
      <c r="M1868" s="10"/>
      <c r="N1868" s="10"/>
      <c r="O1868" s="7"/>
      <c r="P1868" s="7"/>
      <c r="Q1868" s="7"/>
      <c r="AB1868" s="7"/>
    </row>
    <row r="1869" spans="3:28" ht="13" x14ac:dyDescent="0.15">
      <c r="C1869" s="7"/>
      <c r="D1869" s="7"/>
      <c r="E1869" s="7"/>
      <c r="F1869" s="9"/>
      <c r="H1869" s="10"/>
      <c r="I1869" s="10"/>
      <c r="J1869" s="10"/>
      <c r="K1869" s="10"/>
      <c r="L1869" s="10"/>
      <c r="M1869" s="10"/>
      <c r="N1869" s="10"/>
      <c r="O1869" s="7"/>
      <c r="P1869" s="7"/>
      <c r="Q1869" s="7"/>
      <c r="AB1869" s="7"/>
    </row>
    <row r="1870" spans="3:28" ht="13" x14ac:dyDescent="0.15">
      <c r="C1870" s="7"/>
      <c r="D1870" s="7"/>
      <c r="E1870" s="7"/>
      <c r="F1870" s="9"/>
      <c r="H1870" s="10"/>
      <c r="I1870" s="10"/>
      <c r="J1870" s="10"/>
      <c r="K1870" s="10"/>
      <c r="L1870" s="10"/>
      <c r="M1870" s="10"/>
      <c r="N1870" s="10"/>
      <c r="O1870" s="7"/>
      <c r="P1870" s="7"/>
      <c r="Q1870" s="7"/>
      <c r="AB1870" s="7"/>
    </row>
    <row r="1871" spans="3:28" ht="13" x14ac:dyDescent="0.15">
      <c r="C1871" s="7"/>
      <c r="D1871" s="7"/>
      <c r="E1871" s="7"/>
      <c r="F1871" s="9"/>
      <c r="H1871" s="10"/>
      <c r="I1871" s="10"/>
      <c r="J1871" s="10"/>
      <c r="K1871" s="10"/>
      <c r="L1871" s="10"/>
      <c r="M1871" s="10"/>
      <c r="N1871" s="10"/>
      <c r="O1871" s="7"/>
      <c r="P1871" s="7"/>
      <c r="Q1871" s="7"/>
      <c r="AB1871" s="7"/>
    </row>
    <row r="1872" spans="3:28" ht="13" x14ac:dyDescent="0.15">
      <c r="C1872" s="7"/>
      <c r="D1872" s="7"/>
      <c r="E1872" s="7"/>
      <c r="F1872" s="9"/>
      <c r="H1872" s="10"/>
      <c r="I1872" s="10"/>
      <c r="J1872" s="10"/>
      <c r="K1872" s="10"/>
      <c r="L1872" s="10"/>
      <c r="M1872" s="10"/>
      <c r="N1872" s="10"/>
      <c r="O1872" s="7"/>
      <c r="P1872" s="7"/>
      <c r="Q1872" s="7"/>
      <c r="AB1872" s="7"/>
    </row>
    <row r="1873" spans="3:28" ht="13" x14ac:dyDescent="0.15">
      <c r="C1873" s="7"/>
      <c r="D1873" s="7"/>
      <c r="E1873" s="7"/>
      <c r="F1873" s="9"/>
      <c r="H1873" s="10"/>
      <c r="I1873" s="10"/>
      <c r="J1873" s="10"/>
      <c r="K1873" s="10"/>
      <c r="L1873" s="10"/>
      <c r="M1873" s="10"/>
      <c r="N1873" s="10"/>
      <c r="O1873" s="7"/>
      <c r="P1873" s="7"/>
      <c r="Q1873" s="7"/>
      <c r="AB1873" s="7"/>
    </row>
    <row r="1874" spans="3:28" ht="13" x14ac:dyDescent="0.15">
      <c r="C1874" s="7"/>
      <c r="D1874" s="7"/>
      <c r="E1874" s="7"/>
      <c r="F1874" s="9"/>
      <c r="H1874" s="10"/>
      <c r="I1874" s="10"/>
      <c r="J1874" s="10"/>
      <c r="K1874" s="10"/>
      <c r="L1874" s="10"/>
      <c r="M1874" s="10"/>
      <c r="N1874" s="10"/>
      <c r="O1874" s="7"/>
      <c r="P1874" s="7"/>
      <c r="Q1874" s="7"/>
      <c r="AB1874" s="7"/>
    </row>
    <row r="1875" spans="3:28" ht="13" x14ac:dyDescent="0.15">
      <c r="C1875" s="7"/>
      <c r="D1875" s="7"/>
      <c r="E1875" s="7"/>
      <c r="F1875" s="9"/>
      <c r="H1875" s="10"/>
      <c r="I1875" s="10"/>
      <c r="J1875" s="10"/>
      <c r="K1875" s="10"/>
      <c r="L1875" s="10"/>
      <c r="M1875" s="10"/>
      <c r="N1875" s="10"/>
      <c r="O1875" s="7"/>
      <c r="P1875" s="7"/>
      <c r="Q1875" s="7"/>
      <c r="AB1875" s="7"/>
    </row>
    <row r="1876" spans="3:28" ht="13" x14ac:dyDescent="0.15">
      <c r="C1876" s="7"/>
      <c r="D1876" s="7"/>
      <c r="E1876" s="7"/>
      <c r="F1876" s="9"/>
      <c r="H1876" s="10"/>
      <c r="I1876" s="10"/>
      <c r="J1876" s="10"/>
      <c r="K1876" s="10"/>
      <c r="L1876" s="10"/>
      <c r="M1876" s="10"/>
      <c r="N1876" s="10"/>
      <c r="O1876" s="7"/>
      <c r="P1876" s="7"/>
      <c r="Q1876" s="7"/>
      <c r="AB1876" s="7"/>
    </row>
    <row r="1877" spans="3:28" ht="13" x14ac:dyDescent="0.15">
      <c r="C1877" s="7"/>
      <c r="D1877" s="7"/>
      <c r="E1877" s="7"/>
      <c r="F1877" s="9"/>
      <c r="H1877" s="10"/>
      <c r="I1877" s="10"/>
      <c r="J1877" s="10"/>
      <c r="K1877" s="10"/>
      <c r="L1877" s="10"/>
      <c r="M1877" s="10"/>
      <c r="N1877" s="10"/>
      <c r="O1877" s="7"/>
      <c r="P1877" s="7"/>
      <c r="Q1877" s="7"/>
      <c r="AB1877" s="7"/>
    </row>
    <row r="1878" spans="3:28" ht="13" x14ac:dyDescent="0.15">
      <c r="C1878" s="7"/>
      <c r="D1878" s="7"/>
      <c r="E1878" s="7"/>
      <c r="F1878" s="9"/>
      <c r="H1878" s="10"/>
      <c r="I1878" s="10"/>
      <c r="J1878" s="10"/>
      <c r="K1878" s="10"/>
      <c r="L1878" s="10"/>
      <c r="M1878" s="10"/>
      <c r="N1878" s="10"/>
      <c r="O1878" s="7"/>
      <c r="P1878" s="7"/>
      <c r="Q1878" s="7"/>
      <c r="AB1878" s="7"/>
    </row>
    <row r="1879" spans="3:28" ht="13" x14ac:dyDescent="0.15">
      <c r="C1879" s="7"/>
      <c r="D1879" s="7"/>
      <c r="E1879" s="7"/>
      <c r="F1879" s="9"/>
      <c r="H1879" s="10"/>
      <c r="I1879" s="10"/>
      <c r="J1879" s="10"/>
      <c r="K1879" s="10"/>
      <c r="L1879" s="10"/>
      <c r="M1879" s="10"/>
      <c r="N1879" s="10"/>
      <c r="O1879" s="7"/>
      <c r="P1879" s="7"/>
      <c r="Q1879" s="7"/>
      <c r="AB1879" s="7"/>
    </row>
    <row r="1880" spans="3:28" ht="13" x14ac:dyDescent="0.15">
      <c r="C1880" s="7"/>
      <c r="D1880" s="7"/>
      <c r="E1880" s="7"/>
      <c r="F1880" s="9"/>
      <c r="H1880" s="10"/>
      <c r="I1880" s="10"/>
      <c r="J1880" s="10"/>
      <c r="K1880" s="10"/>
      <c r="L1880" s="10"/>
      <c r="M1880" s="10"/>
      <c r="N1880" s="10"/>
      <c r="O1880" s="7"/>
      <c r="P1880" s="7"/>
      <c r="Q1880" s="7"/>
      <c r="AB1880" s="7"/>
    </row>
    <row r="1881" spans="3:28" ht="13" x14ac:dyDescent="0.15">
      <c r="C1881" s="7"/>
      <c r="D1881" s="7"/>
      <c r="E1881" s="7"/>
      <c r="F1881" s="9"/>
      <c r="H1881" s="10"/>
      <c r="I1881" s="10"/>
      <c r="J1881" s="10"/>
      <c r="K1881" s="10"/>
      <c r="L1881" s="10"/>
      <c r="M1881" s="10"/>
      <c r="N1881" s="10"/>
      <c r="O1881" s="7"/>
      <c r="P1881" s="7"/>
      <c r="Q1881" s="7"/>
      <c r="AB1881" s="7"/>
    </row>
    <row r="1882" spans="3:28" ht="13" x14ac:dyDescent="0.15">
      <c r="C1882" s="7"/>
      <c r="D1882" s="7"/>
      <c r="E1882" s="7"/>
      <c r="F1882" s="9"/>
      <c r="H1882" s="10"/>
      <c r="I1882" s="10"/>
      <c r="J1882" s="10"/>
      <c r="K1882" s="10"/>
      <c r="L1882" s="10"/>
      <c r="M1882" s="10"/>
      <c r="N1882" s="10"/>
      <c r="O1882" s="7"/>
      <c r="P1882" s="7"/>
      <c r="Q1882" s="7"/>
      <c r="AB1882" s="7"/>
    </row>
    <row r="1883" spans="3:28" ht="13" x14ac:dyDescent="0.15">
      <c r="C1883" s="7"/>
      <c r="D1883" s="7"/>
      <c r="E1883" s="7"/>
      <c r="F1883" s="9"/>
      <c r="H1883" s="10"/>
      <c r="I1883" s="10"/>
      <c r="J1883" s="10"/>
      <c r="K1883" s="10"/>
      <c r="L1883" s="10"/>
      <c r="M1883" s="10"/>
      <c r="N1883" s="10"/>
      <c r="O1883" s="7"/>
      <c r="P1883" s="7"/>
      <c r="Q1883" s="7"/>
      <c r="AB1883" s="7"/>
    </row>
    <row r="1884" spans="3:28" ht="13" x14ac:dyDescent="0.15">
      <c r="C1884" s="7"/>
      <c r="D1884" s="7"/>
      <c r="E1884" s="7"/>
      <c r="F1884" s="9"/>
      <c r="H1884" s="10"/>
      <c r="I1884" s="10"/>
      <c r="J1884" s="10"/>
      <c r="K1884" s="10"/>
      <c r="L1884" s="10"/>
      <c r="M1884" s="10"/>
      <c r="N1884" s="10"/>
      <c r="O1884" s="7"/>
      <c r="P1884" s="7"/>
      <c r="Q1884" s="7"/>
      <c r="AB1884" s="7"/>
    </row>
    <row r="1885" spans="3:28" ht="13" x14ac:dyDescent="0.15">
      <c r="C1885" s="7"/>
      <c r="D1885" s="7"/>
      <c r="E1885" s="7"/>
      <c r="F1885" s="9"/>
      <c r="H1885" s="10"/>
      <c r="I1885" s="10"/>
      <c r="J1885" s="10"/>
      <c r="K1885" s="10"/>
      <c r="L1885" s="10"/>
      <c r="M1885" s="10"/>
      <c r="N1885" s="10"/>
      <c r="O1885" s="7"/>
      <c r="P1885" s="7"/>
      <c r="Q1885" s="7"/>
      <c r="AB1885" s="7"/>
    </row>
    <row r="1886" spans="3:28" ht="13" x14ac:dyDescent="0.15">
      <c r="C1886" s="7"/>
      <c r="D1886" s="7"/>
      <c r="E1886" s="7"/>
      <c r="F1886" s="9"/>
      <c r="H1886" s="10"/>
      <c r="I1886" s="10"/>
      <c r="J1886" s="10"/>
      <c r="K1886" s="10"/>
      <c r="L1886" s="10"/>
      <c r="M1886" s="10"/>
      <c r="N1886" s="10"/>
      <c r="O1886" s="7"/>
      <c r="P1886" s="7"/>
      <c r="Q1886" s="7"/>
      <c r="AB1886" s="7"/>
    </row>
    <row r="1887" spans="3:28" ht="13" x14ac:dyDescent="0.15">
      <c r="C1887" s="7"/>
      <c r="D1887" s="7"/>
      <c r="E1887" s="7"/>
      <c r="F1887" s="9"/>
      <c r="H1887" s="10"/>
      <c r="I1887" s="10"/>
      <c r="J1887" s="10"/>
      <c r="K1887" s="10"/>
      <c r="L1887" s="10"/>
      <c r="M1887" s="10"/>
      <c r="N1887" s="10"/>
      <c r="O1887" s="7"/>
      <c r="P1887" s="7"/>
      <c r="Q1887" s="7"/>
      <c r="AB1887" s="7"/>
    </row>
    <row r="1888" spans="3:28" ht="13" x14ac:dyDescent="0.15">
      <c r="C1888" s="7"/>
      <c r="D1888" s="7"/>
      <c r="E1888" s="7"/>
      <c r="F1888" s="9"/>
      <c r="H1888" s="10"/>
      <c r="I1888" s="10"/>
      <c r="J1888" s="10"/>
      <c r="K1888" s="10"/>
      <c r="L1888" s="10"/>
      <c r="M1888" s="10"/>
      <c r="N1888" s="10"/>
      <c r="O1888" s="7"/>
      <c r="P1888" s="7"/>
      <c r="Q1888" s="7"/>
      <c r="AB1888" s="7"/>
    </row>
    <row r="1889" spans="3:28" ht="13" x14ac:dyDescent="0.15">
      <c r="C1889" s="7"/>
      <c r="D1889" s="7"/>
      <c r="E1889" s="7"/>
      <c r="F1889" s="9"/>
      <c r="H1889" s="10"/>
      <c r="I1889" s="10"/>
      <c r="J1889" s="10"/>
      <c r="K1889" s="10"/>
      <c r="L1889" s="10"/>
      <c r="M1889" s="10"/>
      <c r="N1889" s="10"/>
      <c r="O1889" s="7"/>
      <c r="P1889" s="7"/>
      <c r="Q1889" s="7"/>
      <c r="AB1889" s="7"/>
    </row>
    <row r="1890" spans="3:28" ht="13" x14ac:dyDescent="0.15">
      <c r="C1890" s="7"/>
      <c r="D1890" s="7"/>
      <c r="E1890" s="7"/>
      <c r="F1890" s="9"/>
      <c r="H1890" s="10"/>
      <c r="I1890" s="10"/>
      <c r="J1890" s="10"/>
      <c r="K1890" s="10"/>
      <c r="L1890" s="10"/>
      <c r="M1890" s="10"/>
      <c r="N1890" s="10"/>
      <c r="O1890" s="7"/>
      <c r="P1890" s="7"/>
      <c r="Q1890" s="7"/>
      <c r="AB1890" s="7"/>
    </row>
    <row r="1891" spans="3:28" ht="13" x14ac:dyDescent="0.15">
      <c r="C1891" s="7"/>
      <c r="D1891" s="7"/>
      <c r="E1891" s="7"/>
      <c r="F1891" s="9"/>
      <c r="H1891" s="10"/>
      <c r="I1891" s="10"/>
      <c r="J1891" s="10"/>
      <c r="K1891" s="10"/>
      <c r="L1891" s="10"/>
      <c r="M1891" s="10"/>
      <c r="N1891" s="10"/>
      <c r="O1891" s="7"/>
      <c r="P1891" s="7"/>
      <c r="Q1891" s="7"/>
      <c r="AB1891" s="7"/>
    </row>
    <row r="1892" spans="3:28" ht="13" x14ac:dyDescent="0.15">
      <c r="C1892" s="7"/>
      <c r="D1892" s="7"/>
      <c r="E1892" s="7"/>
      <c r="F1892" s="9"/>
      <c r="H1892" s="10"/>
      <c r="I1892" s="10"/>
      <c r="J1892" s="10"/>
      <c r="K1892" s="10"/>
      <c r="L1892" s="10"/>
      <c r="M1892" s="10"/>
      <c r="N1892" s="10"/>
      <c r="O1892" s="7"/>
      <c r="P1892" s="7"/>
      <c r="Q1892" s="7"/>
      <c r="AB1892" s="7"/>
    </row>
    <row r="1893" spans="3:28" ht="13" x14ac:dyDescent="0.15">
      <c r="C1893" s="7"/>
      <c r="D1893" s="7"/>
      <c r="E1893" s="7"/>
      <c r="F1893" s="9"/>
      <c r="H1893" s="10"/>
      <c r="I1893" s="10"/>
      <c r="J1893" s="10"/>
      <c r="K1893" s="10"/>
      <c r="L1893" s="10"/>
      <c r="M1893" s="10"/>
      <c r="N1893" s="10"/>
      <c r="O1893" s="7"/>
      <c r="P1893" s="7"/>
      <c r="Q1893" s="7"/>
      <c r="AB1893" s="7"/>
    </row>
    <row r="1894" spans="3:28" ht="13" x14ac:dyDescent="0.15">
      <c r="C1894" s="7"/>
      <c r="D1894" s="7"/>
      <c r="E1894" s="7"/>
      <c r="F1894" s="9"/>
      <c r="H1894" s="10"/>
      <c r="I1894" s="10"/>
      <c r="J1894" s="10"/>
      <c r="K1894" s="10"/>
      <c r="L1894" s="10"/>
      <c r="M1894" s="10"/>
      <c r="N1894" s="10"/>
      <c r="O1894" s="7"/>
      <c r="P1894" s="7"/>
      <c r="Q1894" s="7"/>
      <c r="AB1894" s="7"/>
    </row>
    <row r="1895" spans="3:28" ht="13" x14ac:dyDescent="0.15">
      <c r="C1895" s="7"/>
      <c r="D1895" s="7"/>
      <c r="E1895" s="7"/>
      <c r="F1895" s="9"/>
      <c r="H1895" s="10"/>
      <c r="I1895" s="10"/>
      <c r="J1895" s="10"/>
      <c r="K1895" s="10"/>
      <c r="L1895" s="10"/>
      <c r="M1895" s="10"/>
      <c r="N1895" s="10"/>
      <c r="O1895" s="7"/>
      <c r="P1895" s="7"/>
      <c r="Q1895" s="7"/>
      <c r="AB1895" s="7"/>
    </row>
    <row r="1896" spans="3:28" ht="13" x14ac:dyDescent="0.15">
      <c r="C1896" s="7"/>
      <c r="D1896" s="7"/>
      <c r="E1896" s="7"/>
      <c r="F1896" s="9"/>
      <c r="H1896" s="10"/>
      <c r="I1896" s="10"/>
      <c r="J1896" s="10"/>
      <c r="K1896" s="10"/>
      <c r="L1896" s="10"/>
      <c r="M1896" s="10"/>
      <c r="N1896" s="10"/>
      <c r="O1896" s="7"/>
      <c r="P1896" s="7"/>
      <c r="Q1896" s="7"/>
      <c r="AB1896" s="7"/>
    </row>
    <row r="1897" spans="3:28" ht="13" x14ac:dyDescent="0.15">
      <c r="C1897" s="7"/>
      <c r="D1897" s="7"/>
      <c r="E1897" s="7"/>
      <c r="F1897" s="9"/>
      <c r="H1897" s="10"/>
      <c r="I1897" s="10"/>
      <c r="J1897" s="10"/>
      <c r="K1897" s="10"/>
      <c r="L1897" s="10"/>
      <c r="M1897" s="10"/>
      <c r="N1897" s="10"/>
      <c r="O1897" s="7"/>
      <c r="P1897" s="7"/>
      <c r="Q1897" s="7"/>
      <c r="AB1897" s="7"/>
    </row>
    <row r="1898" spans="3:28" ht="13" x14ac:dyDescent="0.15">
      <c r="C1898" s="7"/>
      <c r="D1898" s="7"/>
      <c r="E1898" s="7"/>
      <c r="F1898" s="9"/>
      <c r="H1898" s="10"/>
      <c r="I1898" s="10"/>
      <c r="J1898" s="10"/>
      <c r="K1898" s="10"/>
      <c r="L1898" s="10"/>
      <c r="M1898" s="10"/>
      <c r="N1898" s="10"/>
      <c r="O1898" s="7"/>
      <c r="P1898" s="7"/>
      <c r="Q1898" s="7"/>
      <c r="AB1898" s="7"/>
    </row>
    <row r="1899" spans="3:28" ht="13" x14ac:dyDescent="0.15">
      <c r="C1899" s="7"/>
      <c r="D1899" s="7"/>
      <c r="E1899" s="7"/>
      <c r="F1899" s="9"/>
      <c r="H1899" s="10"/>
      <c r="I1899" s="10"/>
      <c r="J1899" s="10"/>
      <c r="K1899" s="10"/>
      <c r="L1899" s="10"/>
      <c r="M1899" s="10"/>
      <c r="N1899" s="10"/>
      <c r="O1899" s="7"/>
      <c r="P1899" s="7"/>
      <c r="Q1899" s="7"/>
      <c r="AB1899" s="7"/>
    </row>
    <row r="1900" spans="3:28" ht="13" x14ac:dyDescent="0.15">
      <c r="C1900" s="7"/>
      <c r="D1900" s="7"/>
      <c r="E1900" s="7"/>
      <c r="F1900" s="9"/>
      <c r="H1900" s="10"/>
      <c r="I1900" s="10"/>
      <c r="J1900" s="10"/>
      <c r="K1900" s="10"/>
      <c r="L1900" s="10"/>
      <c r="M1900" s="10"/>
      <c r="N1900" s="10"/>
      <c r="O1900" s="7"/>
      <c r="P1900" s="7"/>
      <c r="Q1900" s="7"/>
      <c r="AB1900" s="7"/>
    </row>
    <row r="1901" spans="3:28" ht="13" x14ac:dyDescent="0.15">
      <c r="C1901" s="7"/>
      <c r="D1901" s="7"/>
      <c r="E1901" s="7"/>
      <c r="F1901" s="9"/>
      <c r="H1901" s="10"/>
      <c r="I1901" s="10"/>
      <c r="J1901" s="10"/>
      <c r="K1901" s="10"/>
      <c r="L1901" s="10"/>
      <c r="M1901" s="10"/>
      <c r="N1901" s="10"/>
      <c r="O1901" s="7"/>
      <c r="P1901" s="7"/>
      <c r="Q1901" s="7"/>
      <c r="AB1901" s="7"/>
    </row>
    <row r="1902" spans="3:28" ht="13" x14ac:dyDescent="0.15">
      <c r="C1902" s="7"/>
      <c r="D1902" s="7"/>
      <c r="E1902" s="7"/>
      <c r="F1902" s="9"/>
      <c r="H1902" s="10"/>
      <c r="I1902" s="10"/>
      <c r="J1902" s="10"/>
      <c r="K1902" s="10"/>
      <c r="L1902" s="10"/>
      <c r="M1902" s="10"/>
      <c r="N1902" s="10"/>
      <c r="O1902" s="7"/>
      <c r="P1902" s="7"/>
      <c r="Q1902" s="7"/>
      <c r="AB1902" s="7"/>
    </row>
    <row r="1903" spans="3:28" ht="13" x14ac:dyDescent="0.15">
      <c r="C1903" s="7"/>
      <c r="D1903" s="7"/>
      <c r="E1903" s="7"/>
      <c r="F1903" s="9"/>
      <c r="H1903" s="10"/>
      <c r="I1903" s="10"/>
      <c r="J1903" s="10"/>
      <c r="K1903" s="10"/>
      <c r="L1903" s="10"/>
      <c r="M1903" s="10"/>
      <c r="N1903" s="10"/>
      <c r="O1903" s="7"/>
      <c r="P1903" s="7"/>
      <c r="Q1903" s="7"/>
      <c r="AB1903" s="7"/>
    </row>
    <row r="1904" spans="3:28" ht="13" x14ac:dyDescent="0.15">
      <c r="C1904" s="7"/>
      <c r="D1904" s="7"/>
      <c r="E1904" s="7"/>
      <c r="F1904" s="9"/>
      <c r="H1904" s="10"/>
      <c r="I1904" s="10"/>
      <c r="J1904" s="10"/>
      <c r="K1904" s="10"/>
      <c r="L1904" s="10"/>
      <c r="M1904" s="10"/>
      <c r="N1904" s="10"/>
      <c r="O1904" s="7"/>
      <c r="P1904" s="7"/>
      <c r="Q1904" s="7"/>
      <c r="AB1904" s="7"/>
    </row>
    <row r="1905" spans="3:28" ht="13" x14ac:dyDescent="0.15">
      <c r="C1905" s="7"/>
      <c r="D1905" s="7"/>
      <c r="E1905" s="7"/>
      <c r="F1905" s="9"/>
      <c r="H1905" s="10"/>
      <c r="I1905" s="10"/>
      <c r="J1905" s="10"/>
      <c r="K1905" s="10"/>
      <c r="L1905" s="10"/>
      <c r="M1905" s="10"/>
      <c r="N1905" s="10"/>
      <c r="O1905" s="7"/>
      <c r="P1905" s="7"/>
      <c r="Q1905" s="7"/>
      <c r="AB1905" s="7"/>
    </row>
    <row r="1906" spans="3:28" ht="13" x14ac:dyDescent="0.15">
      <c r="C1906" s="7"/>
      <c r="D1906" s="7"/>
      <c r="E1906" s="7"/>
      <c r="F1906" s="9"/>
      <c r="H1906" s="10"/>
      <c r="I1906" s="10"/>
      <c r="J1906" s="10"/>
      <c r="K1906" s="10"/>
      <c r="L1906" s="10"/>
      <c r="M1906" s="10"/>
      <c r="N1906" s="10"/>
      <c r="O1906" s="7"/>
      <c r="P1906" s="7"/>
      <c r="Q1906" s="7"/>
      <c r="AB1906" s="7"/>
    </row>
    <row r="1907" spans="3:28" ht="13" x14ac:dyDescent="0.15">
      <c r="C1907" s="7"/>
      <c r="D1907" s="7"/>
      <c r="E1907" s="7"/>
      <c r="F1907" s="9"/>
      <c r="H1907" s="10"/>
      <c r="I1907" s="10"/>
      <c r="J1907" s="10"/>
      <c r="K1907" s="10"/>
      <c r="L1907" s="10"/>
      <c r="M1907" s="10"/>
      <c r="N1907" s="10"/>
      <c r="O1907" s="7"/>
      <c r="P1907" s="7"/>
      <c r="Q1907" s="7"/>
      <c r="AB1907" s="7"/>
    </row>
    <row r="1908" spans="3:28" ht="13" x14ac:dyDescent="0.15">
      <c r="C1908" s="7"/>
      <c r="D1908" s="7"/>
      <c r="E1908" s="7"/>
      <c r="F1908" s="9"/>
      <c r="H1908" s="10"/>
      <c r="I1908" s="10"/>
      <c r="J1908" s="10"/>
      <c r="K1908" s="10"/>
      <c r="L1908" s="10"/>
      <c r="M1908" s="10"/>
      <c r="N1908" s="10"/>
      <c r="O1908" s="7"/>
      <c r="P1908" s="7"/>
      <c r="Q1908" s="7"/>
      <c r="AB1908" s="7"/>
    </row>
    <row r="1909" spans="3:28" ht="13" x14ac:dyDescent="0.15">
      <c r="C1909" s="7"/>
      <c r="D1909" s="7"/>
      <c r="E1909" s="7"/>
      <c r="F1909" s="9"/>
      <c r="H1909" s="10"/>
      <c r="I1909" s="10"/>
      <c r="J1909" s="10"/>
      <c r="K1909" s="10"/>
      <c r="L1909" s="10"/>
      <c r="M1909" s="10"/>
      <c r="N1909" s="10"/>
      <c r="O1909" s="7"/>
      <c r="P1909" s="7"/>
      <c r="Q1909" s="7"/>
      <c r="AB1909" s="7"/>
    </row>
    <row r="1910" spans="3:28" ht="13" x14ac:dyDescent="0.15">
      <c r="C1910" s="7"/>
      <c r="D1910" s="7"/>
      <c r="E1910" s="7"/>
      <c r="F1910" s="9"/>
      <c r="H1910" s="10"/>
      <c r="I1910" s="10"/>
      <c r="J1910" s="10"/>
      <c r="K1910" s="10"/>
      <c r="L1910" s="10"/>
      <c r="M1910" s="10"/>
      <c r="N1910" s="10"/>
      <c r="O1910" s="7"/>
      <c r="P1910" s="7"/>
      <c r="Q1910" s="7"/>
      <c r="AB1910" s="7"/>
    </row>
    <row r="1911" spans="3:28" ht="13" x14ac:dyDescent="0.15">
      <c r="C1911" s="7"/>
      <c r="D1911" s="7"/>
      <c r="E1911" s="7"/>
      <c r="F1911" s="9"/>
      <c r="H1911" s="10"/>
      <c r="I1911" s="10"/>
      <c r="J1911" s="10"/>
      <c r="K1911" s="10"/>
      <c r="L1911" s="10"/>
      <c r="M1911" s="10"/>
      <c r="N1911" s="10"/>
      <c r="O1911" s="7"/>
      <c r="P1911" s="7"/>
      <c r="Q1911" s="7"/>
      <c r="AB1911" s="7"/>
    </row>
    <row r="1912" spans="3:28" ht="13" x14ac:dyDescent="0.15">
      <c r="C1912" s="7"/>
      <c r="D1912" s="7"/>
      <c r="E1912" s="7"/>
      <c r="F1912" s="9"/>
      <c r="H1912" s="10"/>
      <c r="I1912" s="10"/>
      <c r="J1912" s="10"/>
      <c r="K1912" s="10"/>
      <c r="L1912" s="10"/>
      <c r="M1912" s="10"/>
      <c r="N1912" s="10"/>
      <c r="O1912" s="7"/>
      <c r="P1912" s="7"/>
      <c r="Q1912" s="7"/>
      <c r="AB1912" s="7"/>
    </row>
    <row r="1913" spans="3:28" ht="13" x14ac:dyDescent="0.15">
      <c r="C1913" s="7"/>
      <c r="D1913" s="7"/>
      <c r="E1913" s="7"/>
      <c r="F1913" s="9"/>
      <c r="H1913" s="10"/>
      <c r="I1913" s="10"/>
      <c r="J1913" s="10"/>
      <c r="K1913" s="10"/>
      <c r="L1913" s="10"/>
      <c r="M1913" s="10"/>
      <c r="N1913" s="10"/>
      <c r="O1913" s="7"/>
      <c r="P1913" s="7"/>
      <c r="Q1913" s="7"/>
      <c r="AB1913" s="7"/>
    </row>
    <row r="1914" spans="3:28" ht="13" x14ac:dyDescent="0.15">
      <c r="C1914" s="7"/>
      <c r="D1914" s="7"/>
      <c r="E1914" s="7"/>
      <c r="F1914" s="9"/>
      <c r="H1914" s="10"/>
      <c r="I1914" s="10"/>
      <c r="J1914" s="10"/>
      <c r="K1914" s="10"/>
      <c r="L1914" s="10"/>
      <c r="M1914" s="10"/>
      <c r="N1914" s="10"/>
      <c r="O1914" s="7"/>
      <c r="P1914" s="7"/>
      <c r="Q1914" s="7"/>
      <c r="AB1914" s="7"/>
    </row>
    <row r="1915" spans="3:28" ht="13" x14ac:dyDescent="0.15">
      <c r="C1915" s="7"/>
      <c r="D1915" s="7"/>
      <c r="E1915" s="7"/>
      <c r="F1915" s="9"/>
      <c r="H1915" s="10"/>
      <c r="I1915" s="10"/>
      <c r="J1915" s="10"/>
      <c r="K1915" s="10"/>
      <c r="L1915" s="10"/>
      <c r="M1915" s="10"/>
      <c r="N1915" s="10"/>
      <c r="O1915" s="7"/>
      <c r="P1915" s="7"/>
      <c r="Q1915" s="7"/>
      <c r="AB1915" s="7"/>
    </row>
    <row r="1916" spans="3:28" ht="13" x14ac:dyDescent="0.15">
      <c r="C1916" s="7"/>
      <c r="D1916" s="7"/>
      <c r="E1916" s="7"/>
      <c r="F1916" s="9"/>
      <c r="H1916" s="10"/>
      <c r="I1916" s="10"/>
      <c r="J1916" s="10"/>
      <c r="K1916" s="10"/>
      <c r="L1916" s="10"/>
      <c r="M1916" s="10"/>
      <c r="N1916" s="10"/>
      <c r="O1916" s="7"/>
      <c r="P1916" s="7"/>
      <c r="Q1916" s="7"/>
      <c r="AB1916" s="7"/>
    </row>
    <row r="1917" spans="3:28" ht="13" x14ac:dyDescent="0.15">
      <c r="C1917" s="7"/>
      <c r="D1917" s="7"/>
      <c r="E1917" s="7"/>
      <c r="F1917" s="9"/>
      <c r="H1917" s="10"/>
      <c r="I1917" s="10"/>
      <c r="J1917" s="10"/>
      <c r="K1917" s="10"/>
      <c r="L1917" s="10"/>
      <c r="M1917" s="10"/>
      <c r="N1917" s="10"/>
      <c r="O1917" s="7"/>
      <c r="P1917" s="7"/>
      <c r="Q1917" s="7"/>
      <c r="AB1917" s="7"/>
    </row>
    <row r="1918" spans="3:28" ht="13" x14ac:dyDescent="0.15">
      <c r="C1918" s="7"/>
      <c r="D1918" s="7"/>
      <c r="E1918" s="7"/>
      <c r="F1918" s="9"/>
      <c r="H1918" s="10"/>
      <c r="I1918" s="10"/>
      <c r="J1918" s="10"/>
      <c r="K1918" s="10"/>
      <c r="L1918" s="10"/>
      <c r="M1918" s="10"/>
      <c r="N1918" s="10"/>
      <c r="O1918" s="7"/>
      <c r="P1918" s="7"/>
      <c r="Q1918" s="7"/>
      <c r="AB1918" s="7"/>
    </row>
    <row r="1919" spans="3:28" ht="13" x14ac:dyDescent="0.15">
      <c r="C1919" s="7"/>
      <c r="D1919" s="7"/>
      <c r="E1919" s="7"/>
      <c r="F1919" s="9"/>
      <c r="H1919" s="10"/>
      <c r="I1919" s="10"/>
      <c r="J1919" s="10"/>
      <c r="K1919" s="10"/>
      <c r="L1919" s="10"/>
      <c r="M1919" s="10"/>
      <c r="N1919" s="10"/>
      <c r="O1919" s="7"/>
      <c r="P1919" s="7"/>
      <c r="Q1919" s="7"/>
      <c r="AB1919" s="7"/>
    </row>
    <row r="1920" spans="3:28" ht="13" x14ac:dyDescent="0.15">
      <c r="C1920" s="7"/>
      <c r="D1920" s="7"/>
      <c r="E1920" s="7"/>
      <c r="F1920" s="9"/>
      <c r="H1920" s="10"/>
      <c r="I1920" s="10"/>
      <c r="J1920" s="10"/>
      <c r="K1920" s="10"/>
      <c r="L1920" s="10"/>
      <c r="M1920" s="10"/>
      <c r="N1920" s="10"/>
      <c r="O1920" s="7"/>
      <c r="P1920" s="7"/>
      <c r="Q1920" s="7"/>
      <c r="AB1920" s="7"/>
    </row>
    <row r="1921" spans="3:28" ht="13" x14ac:dyDescent="0.15">
      <c r="C1921" s="7"/>
      <c r="D1921" s="7"/>
      <c r="E1921" s="7"/>
      <c r="F1921" s="9"/>
      <c r="H1921" s="10"/>
      <c r="I1921" s="10"/>
      <c r="J1921" s="10"/>
      <c r="K1921" s="10"/>
      <c r="L1921" s="10"/>
      <c r="M1921" s="10"/>
      <c r="N1921" s="10"/>
      <c r="O1921" s="7"/>
      <c r="P1921" s="7"/>
      <c r="Q1921" s="7"/>
      <c r="AB1921" s="7"/>
    </row>
    <row r="1922" spans="3:28" ht="13" x14ac:dyDescent="0.15">
      <c r="C1922" s="7"/>
      <c r="D1922" s="7"/>
      <c r="E1922" s="7"/>
      <c r="F1922" s="9"/>
      <c r="H1922" s="10"/>
      <c r="I1922" s="10"/>
      <c r="J1922" s="10"/>
      <c r="K1922" s="10"/>
      <c r="L1922" s="10"/>
      <c r="M1922" s="10"/>
      <c r="N1922" s="10"/>
      <c r="O1922" s="7"/>
      <c r="P1922" s="7"/>
      <c r="Q1922" s="7"/>
      <c r="AB1922" s="7"/>
    </row>
    <row r="1923" spans="3:28" ht="13" x14ac:dyDescent="0.15">
      <c r="C1923" s="7"/>
      <c r="D1923" s="7"/>
      <c r="E1923" s="7"/>
      <c r="F1923" s="9"/>
      <c r="H1923" s="10"/>
      <c r="I1923" s="10"/>
      <c r="J1923" s="10"/>
      <c r="K1923" s="10"/>
      <c r="L1923" s="10"/>
      <c r="M1923" s="10"/>
      <c r="N1923" s="10"/>
      <c r="O1923" s="7"/>
      <c r="P1923" s="7"/>
      <c r="Q1923" s="7"/>
      <c r="AB1923" s="7"/>
    </row>
    <row r="1924" spans="3:28" ht="13" x14ac:dyDescent="0.15">
      <c r="C1924" s="7"/>
      <c r="D1924" s="7"/>
      <c r="E1924" s="7"/>
      <c r="F1924" s="9"/>
      <c r="H1924" s="10"/>
      <c r="I1924" s="10"/>
      <c r="J1924" s="10"/>
      <c r="K1924" s="10"/>
      <c r="L1924" s="10"/>
      <c r="M1924" s="10"/>
      <c r="N1924" s="10"/>
      <c r="O1924" s="7"/>
      <c r="P1924" s="7"/>
      <c r="Q1924" s="7"/>
      <c r="AB1924" s="7"/>
    </row>
    <row r="1925" spans="3:28" ht="13" x14ac:dyDescent="0.15">
      <c r="C1925" s="7"/>
      <c r="D1925" s="7"/>
      <c r="E1925" s="7"/>
      <c r="F1925" s="9"/>
      <c r="H1925" s="10"/>
      <c r="I1925" s="10"/>
      <c r="J1925" s="10"/>
      <c r="K1925" s="10"/>
      <c r="L1925" s="10"/>
      <c r="M1925" s="10"/>
      <c r="N1925" s="10"/>
      <c r="O1925" s="7"/>
      <c r="P1925" s="7"/>
      <c r="Q1925" s="7"/>
      <c r="AB1925" s="7"/>
    </row>
    <row r="1926" spans="3:28" ht="13" x14ac:dyDescent="0.15">
      <c r="C1926" s="7"/>
      <c r="D1926" s="7"/>
      <c r="E1926" s="7"/>
      <c r="F1926" s="9"/>
      <c r="H1926" s="10"/>
      <c r="I1926" s="10"/>
      <c r="J1926" s="10"/>
      <c r="K1926" s="10"/>
      <c r="L1926" s="10"/>
      <c r="M1926" s="10"/>
      <c r="N1926" s="10"/>
      <c r="O1926" s="7"/>
      <c r="P1926" s="7"/>
      <c r="Q1926" s="7"/>
      <c r="AB1926" s="7"/>
    </row>
    <row r="1927" spans="3:28" ht="13" x14ac:dyDescent="0.15">
      <c r="C1927" s="7"/>
      <c r="D1927" s="7"/>
      <c r="E1927" s="7"/>
      <c r="F1927" s="9"/>
      <c r="H1927" s="10"/>
      <c r="I1927" s="10"/>
      <c r="J1927" s="10"/>
      <c r="K1927" s="10"/>
      <c r="L1927" s="10"/>
      <c r="M1927" s="10"/>
      <c r="N1927" s="10"/>
      <c r="O1927" s="7"/>
      <c r="P1927" s="7"/>
      <c r="Q1927" s="7"/>
      <c r="AB1927" s="7"/>
    </row>
    <row r="1928" spans="3:28" ht="13" x14ac:dyDescent="0.15">
      <c r="C1928" s="7"/>
      <c r="D1928" s="7"/>
      <c r="E1928" s="7"/>
      <c r="F1928" s="9"/>
      <c r="H1928" s="10"/>
      <c r="I1928" s="10"/>
      <c r="J1928" s="10"/>
      <c r="K1928" s="10"/>
      <c r="L1928" s="10"/>
      <c r="M1928" s="10"/>
      <c r="N1928" s="10"/>
      <c r="O1928" s="7"/>
      <c r="P1928" s="7"/>
      <c r="Q1928" s="7"/>
      <c r="AB1928" s="7"/>
    </row>
    <row r="1929" spans="3:28" ht="13" x14ac:dyDescent="0.15">
      <c r="C1929" s="7"/>
      <c r="D1929" s="7"/>
      <c r="E1929" s="7"/>
      <c r="F1929" s="9"/>
      <c r="H1929" s="10"/>
      <c r="I1929" s="10"/>
      <c r="J1929" s="10"/>
      <c r="K1929" s="10"/>
      <c r="L1929" s="10"/>
      <c r="M1929" s="10"/>
      <c r="N1929" s="10"/>
      <c r="O1929" s="7"/>
      <c r="P1929" s="7"/>
      <c r="Q1929" s="7"/>
      <c r="AB1929" s="7"/>
    </row>
    <row r="1930" spans="3:28" ht="13" x14ac:dyDescent="0.15">
      <c r="C1930" s="7"/>
      <c r="D1930" s="7"/>
      <c r="E1930" s="7"/>
      <c r="F1930" s="9"/>
      <c r="H1930" s="10"/>
      <c r="I1930" s="10"/>
      <c r="J1930" s="10"/>
      <c r="K1930" s="10"/>
      <c r="L1930" s="10"/>
      <c r="M1930" s="10"/>
      <c r="N1930" s="10"/>
      <c r="O1930" s="7"/>
      <c r="P1930" s="7"/>
      <c r="Q1930" s="7"/>
      <c r="AB1930" s="7"/>
    </row>
    <row r="1931" spans="3:28" ht="13" x14ac:dyDescent="0.15">
      <c r="C1931" s="7"/>
      <c r="D1931" s="7"/>
      <c r="E1931" s="7"/>
      <c r="F1931" s="9"/>
      <c r="H1931" s="10"/>
      <c r="I1931" s="10"/>
      <c r="J1931" s="10"/>
      <c r="K1931" s="10"/>
      <c r="L1931" s="10"/>
      <c r="M1931" s="10"/>
      <c r="N1931" s="10"/>
      <c r="O1931" s="7"/>
      <c r="P1931" s="7"/>
      <c r="Q1931" s="7"/>
      <c r="AB1931" s="7"/>
    </row>
    <row r="1932" spans="3:28" ht="13" x14ac:dyDescent="0.15">
      <c r="C1932" s="7"/>
      <c r="D1932" s="7"/>
      <c r="E1932" s="7"/>
      <c r="F1932" s="9"/>
      <c r="H1932" s="10"/>
      <c r="I1932" s="10"/>
      <c r="J1932" s="10"/>
      <c r="K1932" s="10"/>
      <c r="L1932" s="10"/>
      <c r="M1932" s="10"/>
      <c r="N1932" s="10"/>
      <c r="O1932" s="7"/>
      <c r="P1932" s="7"/>
      <c r="Q1932" s="7"/>
      <c r="AB1932" s="7"/>
    </row>
    <row r="1933" spans="3:28" ht="13" x14ac:dyDescent="0.15">
      <c r="C1933" s="7"/>
      <c r="D1933" s="7"/>
      <c r="E1933" s="7"/>
      <c r="F1933" s="9"/>
      <c r="H1933" s="10"/>
      <c r="I1933" s="10"/>
      <c r="J1933" s="10"/>
      <c r="K1933" s="10"/>
      <c r="L1933" s="10"/>
      <c r="M1933" s="10"/>
      <c r="N1933" s="10"/>
      <c r="O1933" s="7"/>
      <c r="P1933" s="7"/>
      <c r="Q1933" s="7"/>
      <c r="AB1933" s="7"/>
    </row>
    <row r="1934" spans="3:28" ht="13" x14ac:dyDescent="0.15">
      <c r="C1934" s="7"/>
      <c r="D1934" s="7"/>
      <c r="E1934" s="7"/>
      <c r="F1934" s="9"/>
      <c r="H1934" s="10"/>
      <c r="I1934" s="10"/>
      <c r="J1934" s="10"/>
      <c r="K1934" s="10"/>
      <c r="L1934" s="10"/>
      <c r="M1934" s="10"/>
      <c r="N1934" s="10"/>
      <c r="O1934" s="7"/>
      <c r="P1934" s="7"/>
      <c r="Q1934" s="7"/>
      <c r="AB1934" s="7"/>
    </row>
    <row r="1935" spans="3:28" ht="13" x14ac:dyDescent="0.15">
      <c r="C1935" s="7"/>
      <c r="D1935" s="7"/>
      <c r="E1935" s="7"/>
      <c r="F1935" s="9"/>
      <c r="H1935" s="10"/>
      <c r="I1935" s="10"/>
      <c r="J1935" s="10"/>
      <c r="K1935" s="10"/>
      <c r="L1935" s="10"/>
      <c r="M1935" s="10"/>
      <c r="N1935" s="10"/>
      <c r="O1935" s="7"/>
      <c r="P1935" s="7"/>
      <c r="Q1935" s="7"/>
      <c r="AB1935" s="7"/>
    </row>
    <row r="1936" spans="3:28" ht="13" x14ac:dyDescent="0.15">
      <c r="C1936" s="7"/>
      <c r="D1936" s="7"/>
      <c r="E1936" s="7"/>
      <c r="F1936" s="9"/>
      <c r="H1936" s="10"/>
      <c r="I1936" s="10"/>
      <c r="J1936" s="10"/>
      <c r="K1936" s="10"/>
      <c r="L1936" s="10"/>
      <c r="M1936" s="10"/>
      <c r="N1936" s="10"/>
      <c r="O1936" s="7"/>
      <c r="P1936" s="7"/>
      <c r="Q1936" s="7"/>
      <c r="AB1936" s="7"/>
    </row>
    <row r="1937" spans="3:28" ht="13" x14ac:dyDescent="0.15">
      <c r="C1937" s="7"/>
      <c r="D1937" s="7"/>
      <c r="E1937" s="7"/>
      <c r="F1937" s="9"/>
      <c r="H1937" s="10"/>
      <c r="I1937" s="10"/>
      <c r="J1937" s="10"/>
      <c r="K1937" s="10"/>
      <c r="L1937" s="10"/>
      <c r="M1937" s="10"/>
      <c r="N1937" s="10"/>
      <c r="O1937" s="7"/>
      <c r="P1937" s="7"/>
      <c r="Q1937" s="7"/>
      <c r="AB1937" s="7"/>
    </row>
    <row r="1938" spans="3:28" ht="13" x14ac:dyDescent="0.15">
      <c r="C1938" s="7"/>
      <c r="D1938" s="7"/>
      <c r="E1938" s="7"/>
      <c r="F1938" s="9"/>
      <c r="H1938" s="10"/>
      <c r="I1938" s="10"/>
      <c r="J1938" s="10"/>
      <c r="K1938" s="10"/>
      <c r="L1938" s="10"/>
      <c r="M1938" s="10"/>
      <c r="N1938" s="10"/>
      <c r="O1938" s="7"/>
      <c r="P1938" s="7"/>
      <c r="Q1938" s="7"/>
      <c r="AB1938" s="7"/>
    </row>
    <row r="1939" spans="3:28" ht="13" x14ac:dyDescent="0.15">
      <c r="C1939" s="7"/>
      <c r="D1939" s="7"/>
      <c r="E1939" s="7"/>
      <c r="F1939" s="9"/>
      <c r="H1939" s="10"/>
      <c r="I1939" s="10"/>
      <c r="J1939" s="10"/>
      <c r="K1939" s="10"/>
      <c r="L1939" s="10"/>
      <c r="M1939" s="10"/>
      <c r="N1939" s="10"/>
      <c r="O1939" s="7"/>
      <c r="P1939" s="7"/>
      <c r="Q1939" s="7"/>
      <c r="AB1939" s="7"/>
    </row>
    <row r="1940" spans="3:28" ht="13" x14ac:dyDescent="0.15">
      <c r="C1940" s="7"/>
      <c r="D1940" s="7"/>
      <c r="E1940" s="7"/>
      <c r="F1940" s="9"/>
      <c r="H1940" s="10"/>
      <c r="I1940" s="10"/>
      <c r="J1940" s="10"/>
      <c r="K1940" s="10"/>
      <c r="L1940" s="10"/>
      <c r="M1940" s="10"/>
      <c r="N1940" s="10"/>
      <c r="O1940" s="7"/>
      <c r="P1940" s="7"/>
      <c r="Q1940" s="7"/>
      <c r="AB1940" s="7"/>
    </row>
    <row r="1941" spans="3:28" ht="13" x14ac:dyDescent="0.15">
      <c r="C1941" s="7"/>
      <c r="D1941" s="7"/>
      <c r="E1941" s="7"/>
      <c r="F1941" s="9"/>
      <c r="H1941" s="10"/>
      <c r="I1941" s="10"/>
      <c r="J1941" s="10"/>
      <c r="K1941" s="10"/>
      <c r="L1941" s="10"/>
      <c r="M1941" s="10"/>
      <c r="N1941" s="10"/>
      <c r="O1941" s="7"/>
      <c r="P1941" s="7"/>
      <c r="Q1941" s="7"/>
      <c r="AB1941" s="7"/>
    </row>
    <row r="1942" spans="3:28" ht="13" x14ac:dyDescent="0.15">
      <c r="C1942" s="7"/>
      <c r="D1942" s="7"/>
      <c r="E1942" s="7"/>
      <c r="F1942" s="9"/>
      <c r="H1942" s="10"/>
      <c r="I1942" s="10"/>
      <c r="J1942" s="10"/>
      <c r="K1942" s="10"/>
      <c r="L1942" s="10"/>
      <c r="M1942" s="10"/>
      <c r="N1942" s="10"/>
      <c r="O1942" s="7"/>
      <c r="P1942" s="7"/>
      <c r="Q1942" s="7"/>
      <c r="AB1942" s="7"/>
    </row>
    <row r="1943" spans="3:28" ht="13" x14ac:dyDescent="0.15">
      <c r="C1943" s="7"/>
      <c r="D1943" s="7"/>
      <c r="E1943" s="7"/>
      <c r="F1943" s="9"/>
      <c r="H1943" s="10"/>
      <c r="I1943" s="10"/>
      <c r="J1943" s="10"/>
      <c r="K1943" s="10"/>
      <c r="L1943" s="10"/>
      <c r="M1943" s="10"/>
      <c r="N1943" s="10"/>
      <c r="O1943" s="7"/>
      <c r="P1943" s="7"/>
      <c r="Q1943" s="7"/>
      <c r="AB1943" s="7"/>
    </row>
    <row r="1944" spans="3:28" ht="13" x14ac:dyDescent="0.15">
      <c r="C1944" s="7"/>
      <c r="D1944" s="7"/>
      <c r="E1944" s="7"/>
      <c r="F1944" s="9"/>
      <c r="H1944" s="10"/>
      <c r="I1944" s="10"/>
      <c r="J1944" s="10"/>
      <c r="K1944" s="10"/>
      <c r="L1944" s="10"/>
      <c r="M1944" s="10"/>
      <c r="N1944" s="10"/>
      <c r="O1944" s="7"/>
      <c r="P1944" s="7"/>
      <c r="Q1944" s="7"/>
      <c r="AB1944" s="7"/>
    </row>
    <row r="1945" spans="3:28" ht="13" x14ac:dyDescent="0.15">
      <c r="C1945" s="7"/>
      <c r="D1945" s="7"/>
      <c r="E1945" s="7"/>
      <c r="F1945" s="9"/>
      <c r="H1945" s="10"/>
      <c r="I1945" s="10"/>
      <c r="J1945" s="10"/>
      <c r="K1945" s="10"/>
      <c r="L1945" s="10"/>
      <c r="M1945" s="10"/>
      <c r="N1945" s="10"/>
      <c r="O1945" s="7"/>
      <c r="P1945" s="7"/>
      <c r="Q1945" s="7"/>
      <c r="AB1945" s="7"/>
    </row>
    <row r="1946" spans="3:28" ht="13" x14ac:dyDescent="0.15">
      <c r="C1946" s="7"/>
      <c r="D1946" s="7"/>
      <c r="E1946" s="7"/>
      <c r="F1946" s="9"/>
      <c r="H1946" s="10"/>
      <c r="I1946" s="10"/>
      <c r="J1946" s="10"/>
      <c r="K1946" s="10"/>
      <c r="L1946" s="10"/>
      <c r="M1946" s="10"/>
      <c r="N1946" s="10"/>
      <c r="O1946" s="7"/>
      <c r="P1946" s="7"/>
      <c r="Q1946" s="7"/>
      <c r="AB1946" s="7"/>
    </row>
    <row r="1947" spans="3:28" ht="13" x14ac:dyDescent="0.15">
      <c r="C1947" s="7"/>
      <c r="D1947" s="7"/>
      <c r="E1947" s="7"/>
      <c r="F1947" s="9"/>
      <c r="H1947" s="10"/>
      <c r="I1947" s="10"/>
      <c r="J1947" s="10"/>
      <c r="K1947" s="10"/>
      <c r="L1947" s="10"/>
      <c r="M1947" s="10"/>
      <c r="N1947" s="10"/>
      <c r="O1947" s="7"/>
      <c r="P1947" s="7"/>
      <c r="Q1947" s="7"/>
      <c r="AB1947" s="7"/>
    </row>
    <row r="1948" spans="3:28" ht="13" x14ac:dyDescent="0.15">
      <c r="C1948" s="7"/>
      <c r="D1948" s="7"/>
      <c r="E1948" s="7"/>
      <c r="F1948" s="9"/>
      <c r="H1948" s="10"/>
      <c r="I1948" s="10"/>
      <c r="J1948" s="10"/>
      <c r="K1948" s="10"/>
      <c r="L1948" s="10"/>
      <c r="M1948" s="10"/>
      <c r="N1948" s="10"/>
      <c r="O1948" s="7"/>
      <c r="P1948" s="7"/>
      <c r="Q1948" s="7"/>
      <c r="AB1948" s="7"/>
    </row>
    <row r="1949" spans="3:28" ht="13" x14ac:dyDescent="0.15">
      <c r="C1949" s="7"/>
      <c r="D1949" s="7"/>
      <c r="E1949" s="7"/>
      <c r="F1949" s="9"/>
      <c r="H1949" s="10"/>
      <c r="I1949" s="10"/>
      <c r="J1949" s="10"/>
      <c r="K1949" s="10"/>
      <c r="L1949" s="10"/>
      <c r="M1949" s="10"/>
      <c r="N1949" s="10"/>
      <c r="O1949" s="7"/>
      <c r="P1949" s="7"/>
      <c r="Q1949" s="7"/>
      <c r="AB1949" s="7"/>
    </row>
    <row r="1950" spans="3:28" ht="13" x14ac:dyDescent="0.15">
      <c r="C1950" s="7"/>
      <c r="D1950" s="7"/>
      <c r="E1950" s="7"/>
      <c r="F1950" s="9"/>
      <c r="H1950" s="10"/>
      <c r="I1950" s="10"/>
      <c r="J1950" s="10"/>
      <c r="K1950" s="10"/>
      <c r="L1950" s="10"/>
      <c r="M1950" s="10"/>
      <c r="N1950" s="10"/>
      <c r="O1950" s="7"/>
      <c r="P1950" s="7"/>
      <c r="Q1950" s="7"/>
      <c r="AB1950" s="7"/>
    </row>
    <row r="1951" spans="3:28" ht="13" x14ac:dyDescent="0.15">
      <c r="C1951" s="7"/>
      <c r="D1951" s="7"/>
      <c r="E1951" s="7"/>
      <c r="F1951" s="9"/>
      <c r="H1951" s="10"/>
      <c r="I1951" s="10"/>
      <c r="J1951" s="10"/>
      <c r="K1951" s="10"/>
      <c r="L1951" s="10"/>
      <c r="M1951" s="10"/>
      <c r="N1951" s="10"/>
      <c r="O1951" s="7"/>
      <c r="P1951" s="7"/>
      <c r="Q1951" s="7"/>
      <c r="AB1951" s="7"/>
    </row>
    <row r="1952" spans="3:28" ht="13" x14ac:dyDescent="0.15">
      <c r="C1952" s="7"/>
      <c r="D1952" s="7"/>
      <c r="E1952" s="7"/>
      <c r="F1952" s="9"/>
      <c r="H1952" s="10"/>
      <c r="I1952" s="10"/>
      <c r="J1952" s="10"/>
      <c r="K1952" s="10"/>
      <c r="L1952" s="10"/>
      <c r="M1952" s="10"/>
      <c r="N1952" s="10"/>
      <c r="O1952" s="7"/>
      <c r="P1952" s="7"/>
      <c r="Q1952" s="7"/>
      <c r="AB1952" s="7"/>
    </row>
    <row r="1953" spans="3:28" ht="13" x14ac:dyDescent="0.15">
      <c r="C1953" s="7"/>
      <c r="D1953" s="7"/>
      <c r="E1953" s="7"/>
      <c r="F1953" s="9"/>
      <c r="H1953" s="10"/>
      <c r="I1953" s="10"/>
      <c r="J1953" s="10"/>
      <c r="K1953" s="10"/>
      <c r="L1953" s="10"/>
      <c r="M1953" s="10"/>
      <c r="N1953" s="10"/>
      <c r="O1953" s="7"/>
      <c r="P1953" s="7"/>
      <c r="Q1953" s="7"/>
      <c r="AB1953" s="7"/>
    </row>
    <row r="1954" spans="3:28" ht="13" x14ac:dyDescent="0.15">
      <c r="C1954" s="7"/>
      <c r="D1954" s="7"/>
      <c r="E1954" s="7"/>
      <c r="F1954" s="9"/>
      <c r="H1954" s="10"/>
      <c r="I1954" s="10"/>
      <c r="J1954" s="10"/>
      <c r="K1954" s="10"/>
      <c r="L1954" s="10"/>
      <c r="M1954" s="10"/>
      <c r="N1954" s="10"/>
      <c r="O1954" s="7"/>
      <c r="P1954" s="7"/>
      <c r="Q1954" s="7"/>
      <c r="AB1954" s="7"/>
    </row>
    <row r="1955" spans="3:28" ht="13" x14ac:dyDescent="0.15">
      <c r="C1955" s="7"/>
      <c r="D1955" s="7"/>
      <c r="E1955" s="7"/>
      <c r="F1955" s="9"/>
      <c r="H1955" s="10"/>
      <c r="I1955" s="10"/>
      <c r="J1955" s="10"/>
      <c r="K1955" s="10"/>
      <c r="L1955" s="10"/>
      <c r="M1955" s="10"/>
      <c r="N1955" s="10"/>
      <c r="O1955" s="7"/>
      <c r="P1955" s="7"/>
      <c r="Q1955" s="7"/>
      <c r="AB1955" s="7"/>
    </row>
    <row r="1956" spans="3:28" ht="13" x14ac:dyDescent="0.15">
      <c r="C1956" s="7"/>
      <c r="D1956" s="7"/>
      <c r="E1956" s="7"/>
      <c r="F1956" s="9"/>
      <c r="H1956" s="10"/>
      <c r="I1956" s="10"/>
      <c r="J1956" s="10"/>
      <c r="K1956" s="10"/>
      <c r="L1956" s="10"/>
      <c r="M1956" s="10"/>
      <c r="N1956" s="10"/>
      <c r="O1956" s="7"/>
      <c r="P1956" s="7"/>
      <c r="Q1956" s="7"/>
      <c r="AB1956" s="7"/>
    </row>
    <row r="1957" spans="3:28" ht="13" x14ac:dyDescent="0.15">
      <c r="C1957" s="7"/>
      <c r="D1957" s="7"/>
      <c r="E1957" s="7"/>
      <c r="F1957" s="9"/>
      <c r="H1957" s="10"/>
      <c r="I1957" s="10"/>
      <c r="J1957" s="10"/>
      <c r="K1957" s="10"/>
      <c r="L1957" s="10"/>
      <c r="M1957" s="10"/>
      <c r="N1957" s="10"/>
      <c r="O1957" s="7"/>
      <c r="P1957" s="7"/>
      <c r="Q1957" s="7"/>
      <c r="AB1957" s="7"/>
    </row>
    <row r="1958" spans="3:28" ht="13" x14ac:dyDescent="0.15">
      <c r="C1958" s="7"/>
      <c r="D1958" s="7"/>
      <c r="E1958" s="7"/>
      <c r="F1958" s="9"/>
      <c r="H1958" s="10"/>
      <c r="I1958" s="10"/>
      <c r="J1958" s="10"/>
      <c r="K1958" s="10"/>
      <c r="L1958" s="10"/>
      <c r="M1958" s="10"/>
      <c r="N1958" s="10"/>
      <c r="O1958" s="7"/>
      <c r="P1958" s="7"/>
      <c r="Q1958" s="7"/>
      <c r="AB1958" s="7"/>
    </row>
    <row r="1959" spans="3:28" ht="13" x14ac:dyDescent="0.15">
      <c r="C1959" s="7"/>
      <c r="D1959" s="7"/>
      <c r="E1959" s="7"/>
      <c r="F1959" s="9"/>
      <c r="H1959" s="10"/>
      <c r="I1959" s="10"/>
      <c r="J1959" s="10"/>
      <c r="K1959" s="10"/>
      <c r="L1959" s="10"/>
      <c r="M1959" s="10"/>
      <c r="N1959" s="10"/>
      <c r="O1959" s="7"/>
      <c r="P1959" s="7"/>
      <c r="Q1959" s="7"/>
      <c r="AB1959" s="7"/>
    </row>
    <row r="1960" spans="3:28" ht="13" x14ac:dyDescent="0.15">
      <c r="C1960" s="7"/>
      <c r="D1960" s="7"/>
      <c r="E1960" s="7"/>
      <c r="F1960" s="9"/>
      <c r="H1960" s="10"/>
      <c r="I1960" s="10"/>
      <c r="J1960" s="10"/>
      <c r="K1960" s="10"/>
      <c r="L1960" s="10"/>
      <c r="M1960" s="10"/>
      <c r="N1960" s="10"/>
      <c r="O1960" s="7"/>
      <c r="P1960" s="7"/>
      <c r="Q1960" s="7"/>
      <c r="AB1960" s="7"/>
    </row>
    <row r="1961" spans="3:28" ht="13" x14ac:dyDescent="0.15">
      <c r="C1961" s="7"/>
      <c r="D1961" s="7"/>
      <c r="E1961" s="7"/>
      <c r="F1961" s="9"/>
      <c r="H1961" s="10"/>
      <c r="I1961" s="10"/>
      <c r="J1961" s="10"/>
      <c r="K1961" s="10"/>
      <c r="L1961" s="10"/>
      <c r="M1961" s="10"/>
      <c r="N1961" s="10"/>
      <c r="O1961" s="7"/>
      <c r="P1961" s="7"/>
      <c r="Q1961" s="7"/>
      <c r="AB1961" s="7"/>
    </row>
    <row r="1962" spans="3:28" ht="13" x14ac:dyDescent="0.15">
      <c r="C1962" s="7"/>
      <c r="D1962" s="7"/>
      <c r="E1962" s="7"/>
      <c r="F1962" s="9"/>
      <c r="H1962" s="10"/>
      <c r="I1962" s="10"/>
      <c r="J1962" s="10"/>
      <c r="K1962" s="10"/>
      <c r="L1962" s="10"/>
      <c r="M1962" s="10"/>
      <c r="N1962" s="10"/>
      <c r="O1962" s="7"/>
      <c r="P1962" s="7"/>
      <c r="Q1962" s="7"/>
      <c r="AB1962" s="7"/>
    </row>
    <row r="1963" spans="3:28" ht="13" x14ac:dyDescent="0.15">
      <c r="C1963" s="7"/>
      <c r="D1963" s="7"/>
      <c r="E1963" s="7"/>
      <c r="F1963" s="9"/>
      <c r="H1963" s="10"/>
      <c r="I1963" s="10"/>
      <c r="J1963" s="10"/>
      <c r="K1963" s="10"/>
      <c r="L1963" s="10"/>
      <c r="M1963" s="10"/>
      <c r="N1963" s="10"/>
      <c r="O1963" s="7"/>
      <c r="P1963" s="7"/>
      <c r="Q1963" s="7"/>
      <c r="AB1963" s="7"/>
    </row>
    <row r="1964" spans="3:28" ht="13" x14ac:dyDescent="0.15">
      <c r="C1964" s="7"/>
      <c r="D1964" s="7"/>
      <c r="E1964" s="7"/>
      <c r="F1964" s="9"/>
      <c r="H1964" s="10"/>
      <c r="I1964" s="10"/>
      <c r="J1964" s="10"/>
      <c r="K1964" s="10"/>
      <c r="L1964" s="10"/>
      <c r="M1964" s="10"/>
      <c r="N1964" s="10"/>
      <c r="O1964" s="7"/>
      <c r="P1964" s="7"/>
      <c r="Q1964" s="7"/>
      <c r="AB1964" s="7"/>
    </row>
    <row r="1965" spans="3:28" ht="13" x14ac:dyDescent="0.15">
      <c r="C1965" s="7"/>
      <c r="D1965" s="7"/>
      <c r="E1965" s="7"/>
      <c r="F1965" s="9"/>
      <c r="H1965" s="10"/>
      <c r="I1965" s="10"/>
      <c r="J1965" s="10"/>
      <c r="K1965" s="10"/>
      <c r="L1965" s="10"/>
      <c r="M1965" s="10"/>
      <c r="N1965" s="10"/>
      <c r="O1965" s="7"/>
      <c r="P1965" s="7"/>
      <c r="Q1965" s="7"/>
      <c r="AB1965" s="7"/>
    </row>
    <row r="1966" spans="3:28" ht="13" x14ac:dyDescent="0.15">
      <c r="C1966" s="7"/>
      <c r="D1966" s="7"/>
      <c r="E1966" s="7"/>
      <c r="F1966" s="9"/>
      <c r="H1966" s="10"/>
      <c r="I1966" s="10"/>
      <c r="J1966" s="10"/>
      <c r="K1966" s="10"/>
      <c r="L1966" s="10"/>
      <c r="M1966" s="10"/>
      <c r="N1966" s="10"/>
      <c r="O1966" s="7"/>
      <c r="P1966" s="7"/>
      <c r="Q1966" s="7"/>
      <c r="AB1966" s="7"/>
    </row>
    <row r="1967" spans="3:28" ht="13" x14ac:dyDescent="0.15">
      <c r="C1967" s="7"/>
      <c r="D1967" s="7"/>
      <c r="E1967" s="7"/>
      <c r="F1967" s="9"/>
      <c r="H1967" s="10"/>
      <c r="I1967" s="10"/>
      <c r="J1967" s="10"/>
      <c r="K1967" s="10"/>
      <c r="L1967" s="10"/>
      <c r="M1967" s="10"/>
      <c r="N1967" s="10"/>
      <c r="O1967" s="7"/>
      <c r="P1967" s="7"/>
      <c r="Q1967" s="7"/>
      <c r="AB1967" s="7"/>
    </row>
    <row r="1968" spans="3:28" ht="13" x14ac:dyDescent="0.15">
      <c r="C1968" s="7"/>
      <c r="D1968" s="7"/>
      <c r="E1968" s="7"/>
      <c r="F1968" s="9"/>
      <c r="H1968" s="10"/>
      <c r="I1968" s="10"/>
      <c r="J1968" s="10"/>
      <c r="K1968" s="10"/>
      <c r="L1968" s="10"/>
      <c r="M1968" s="10"/>
      <c r="N1968" s="10"/>
      <c r="O1968" s="7"/>
      <c r="P1968" s="7"/>
      <c r="Q1968" s="7"/>
      <c r="AB1968" s="7"/>
    </row>
    <row r="1969" spans="3:28" ht="13" x14ac:dyDescent="0.15">
      <c r="C1969" s="7"/>
      <c r="D1969" s="7"/>
      <c r="E1969" s="7"/>
      <c r="F1969" s="9"/>
      <c r="H1969" s="10"/>
      <c r="I1969" s="10"/>
      <c r="J1969" s="10"/>
      <c r="K1969" s="10"/>
      <c r="L1969" s="10"/>
      <c r="M1969" s="10"/>
      <c r="N1969" s="10"/>
      <c r="O1969" s="7"/>
      <c r="P1969" s="7"/>
      <c r="Q1969" s="7"/>
      <c r="AB1969" s="7"/>
    </row>
    <row r="1970" spans="3:28" ht="13" x14ac:dyDescent="0.15">
      <c r="C1970" s="7"/>
      <c r="D1970" s="7"/>
      <c r="E1970" s="7"/>
      <c r="F1970" s="9"/>
      <c r="H1970" s="10"/>
      <c r="I1970" s="10"/>
      <c r="J1970" s="10"/>
      <c r="K1970" s="10"/>
      <c r="L1970" s="10"/>
      <c r="M1970" s="10"/>
      <c r="N1970" s="10"/>
      <c r="O1970" s="7"/>
      <c r="P1970" s="7"/>
      <c r="Q1970" s="7"/>
      <c r="AB1970" s="7"/>
    </row>
    <row r="1971" spans="3:28" ht="13" x14ac:dyDescent="0.15">
      <c r="C1971" s="7"/>
      <c r="D1971" s="7"/>
      <c r="E1971" s="7"/>
      <c r="F1971" s="9"/>
      <c r="H1971" s="10"/>
      <c r="I1971" s="10"/>
      <c r="J1971" s="10"/>
      <c r="K1971" s="10"/>
      <c r="L1971" s="10"/>
      <c r="M1971" s="10"/>
      <c r="N1971" s="10"/>
      <c r="O1971" s="7"/>
      <c r="P1971" s="7"/>
      <c r="Q1971" s="7"/>
      <c r="AB1971" s="7"/>
    </row>
    <row r="1972" spans="3:28" ht="13" x14ac:dyDescent="0.15">
      <c r="C1972" s="7"/>
      <c r="D1972" s="7"/>
      <c r="E1972" s="7"/>
      <c r="F1972" s="9"/>
      <c r="H1972" s="10"/>
      <c r="I1972" s="10"/>
      <c r="J1972" s="10"/>
      <c r="K1972" s="10"/>
      <c r="L1972" s="10"/>
      <c r="M1972" s="10"/>
      <c r="N1972" s="10"/>
      <c r="O1972" s="7"/>
      <c r="P1972" s="7"/>
      <c r="Q1972" s="7"/>
      <c r="AB1972" s="7"/>
    </row>
    <row r="1973" spans="3:28" ht="13" x14ac:dyDescent="0.15">
      <c r="C1973" s="7"/>
      <c r="D1973" s="7"/>
      <c r="E1973" s="7"/>
      <c r="F1973" s="9"/>
      <c r="H1973" s="10"/>
      <c r="I1973" s="10"/>
      <c r="J1973" s="10"/>
      <c r="K1973" s="10"/>
      <c r="L1973" s="10"/>
      <c r="M1973" s="10"/>
      <c r="N1973" s="10"/>
      <c r="O1973" s="7"/>
      <c r="P1973" s="7"/>
      <c r="Q1973" s="7"/>
      <c r="AB1973" s="7"/>
    </row>
    <row r="1974" spans="3:28" ht="13" x14ac:dyDescent="0.15">
      <c r="C1974" s="7"/>
      <c r="D1974" s="7"/>
      <c r="E1974" s="7"/>
      <c r="F1974" s="9"/>
      <c r="H1974" s="10"/>
      <c r="I1974" s="10"/>
      <c r="J1974" s="10"/>
      <c r="K1974" s="10"/>
      <c r="L1974" s="10"/>
      <c r="M1974" s="10"/>
      <c r="N1974" s="10"/>
      <c r="O1974" s="7"/>
      <c r="P1974" s="7"/>
      <c r="Q1974" s="7"/>
      <c r="AB1974" s="7"/>
    </row>
    <row r="1975" spans="3:28" ht="13" x14ac:dyDescent="0.15">
      <c r="C1975" s="7"/>
      <c r="D1975" s="7"/>
      <c r="E1975" s="7"/>
      <c r="F1975" s="9"/>
      <c r="H1975" s="10"/>
      <c r="I1975" s="10"/>
      <c r="J1975" s="10"/>
      <c r="K1975" s="10"/>
      <c r="L1975" s="10"/>
      <c r="M1975" s="10"/>
      <c r="N1975" s="10"/>
      <c r="O1975" s="7"/>
      <c r="P1975" s="7"/>
      <c r="Q1975" s="7"/>
      <c r="AB1975" s="7"/>
    </row>
    <row r="1976" spans="3:28" ht="13" x14ac:dyDescent="0.15">
      <c r="C1976" s="7"/>
      <c r="D1976" s="7"/>
      <c r="E1976" s="7"/>
      <c r="F1976" s="9"/>
      <c r="H1976" s="10"/>
      <c r="I1976" s="10"/>
      <c r="J1976" s="10"/>
      <c r="K1976" s="10"/>
      <c r="L1976" s="10"/>
      <c r="M1976" s="10"/>
      <c r="N1976" s="10"/>
      <c r="O1976" s="7"/>
      <c r="P1976" s="7"/>
      <c r="Q1976" s="7"/>
      <c r="AB1976" s="7"/>
    </row>
    <row r="1977" spans="3:28" ht="13" x14ac:dyDescent="0.15">
      <c r="C1977" s="7"/>
      <c r="D1977" s="7"/>
      <c r="E1977" s="7"/>
      <c r="F1977" s="9"/>
      <c r="H1977" s="10"/>
      <c r="I1977" s="10"/>
      <c r="J1977" s="10"/>
      <c r="K1977" s="10"/>
      <c r="L1977" s="10"/>
      <c r="M1977" s="10"/>
      <c r="N1977" s="10"/>
      <c r="O1977" s="7"/>
      <c r="P1977" s="7"/>
      <c r="Q1977" s="7"/>
      <c r="AB1977" s="7"/>
    </row>
    <row r="1978" spans="3:28" ht="13" x14ac:dyDescent="0.15">
      <c r="C1978" s="7"/>
      <c r="D1978" s="7"/>
      <c r="E1978" s="7"/>
      <c r="F1978" s="9"/>
      <c r="H1978" s="10"/>
      <c r="I1978" s="10"/>
      <c r="J1978" s="10"/>
      <c r="K1978" s="10"/>
      <c r="L1978" s="10"/>
      <c r="M1978" s="10"/>
      <c r="N1978" s="10"/>
      <c r="O1978" s="7"/>
      <c r="P1978" s="7"/>
      <c r="Q1978" s="7"/>
      <c r="AB1978" s="7"/>
    </row>
    <row r="1979" spans="3:28" ht="13" x14ac:dyDescent="0.15">
      <c r="C1979" s="7"/>
      <c r="D1979" s="7"/>
      <c r="E1979" s="7"/>
      <c r="F1979" s="9"/>
      <c r="H1979" s="10"/>
      <c r="I1979" s="10"/>
      <c r="J1979" s="10"/>
      <c r="K1979" s="10"/>
      <c r="L1979" s="10"/>
      <c r="M1979" s="10"/>
      <c r="N1979" s="10"/>
      <c r="O1979" s="7"/>
      <c r="P1979" s="7"/>
      <c r="Q1979" s="7"/>
      <c r="AB1979" s="7"/>
    </row>
    <row r="1980" spans="3:28" ht="13" x14ac:dyDescent="0.15">
      <c r="C1980" s="7"/>
      <c r="D1980" s="7"/>
      <c r="E1980" s="7"/>
      <c r="F1980" s="9"/>
      <c r="H1980" s="10"/>
      <c r="I1980" s="10"/>
      <c r="J1980" s="10"/>
      <c r="K1980" s="10"/>
      <c r="L1980" s="10"/>
      <c r="M1980" s="10"/>
      <c r="N1980" s="10"/>
      <c r="O1980" s="7"/>
      <c r="P1980" s="7"/>
      <c r="Q1980" s="7"/>
      <c r="AB1980" s="7"/>
    </row>
    <row r="1981" spans="3:28" ht="13" x14ac:dyDescent="0.15">
      <c r="C1981" s="7"/>
      <c r="D1981" s="7"/>
      <c r="E1981" s="7"/>
      <c r="F1981" s="9"/>
      <c r="H1981" s="10"/>
      <c r="I1981" s="10"/>
      <c r="J1981" s="10"/>
      <c r="K1981" s="10"/>
      <c r="L1981" s="10"/>
      <c r="M1981" s="10"/>
      <c r="N1981" s="10"/>
      <c r="O1981" s="7"/>
      <c r="P1981" s="7"/>
      <c r="Q1981" s="7"/>
      <c r="AB1981" s="7"/>
    </row>
    <row r="1982" spans="3:28" ht="13" x14ac:dyDescent="0.15">
      <c r="C1982" s="7"/>
      <c r="D1982" s="7"/>
      <c r="E1982" s="7"/>
      <c r="F1982" s="9"/>
      <c r="H1982" s="10"/>
      <c r="I1982" s="10"/>
      <c r="J1982" s="10"/>
      <c r="K1982" s="10"/>
      <c r="L1982" s="10"/>
      <c r="M1982" s="10"/>
      <c r="N1982" s="10"/>
      <c r="O1982" s="7"/>
      <c r="P1982" s="7"/>
      <c r="Q1982" s="7"/>
      <c r="AB1982" s="7"/>
    </row>
  </sheetData>
  <conditionalFormatting sqref="A3:A1982">
    <cfRule type="colorScale" priority="2">
      <colorScale>
        <cfvo type="min"/>
        <cfvo type="formula" val="2"/>
        <cfvo type="max"/>
        <color rgb="FF57BB8A"/>
        <color rgb="FFFFD666"/>
        <color rgb="FFE67C73"/>
      </colorScale>
    </cfRule>
  </conditionalFormatting>
  <conditionalFormatting sqref="G3:G25 D3:D84 C3:C440 B3:B447 E3:F459 G27:G250 D86:D459 G252:G303 G305:G459 C442:C459 B449:B459 B461:G510 B512:F519 G513:G519 B521:B542 C521:G1982 B544:B1982">
    <cfRule type="containsBlanks" dxfId="18" priority="1">
      <formula>LEN(TRIM(B3))=0</formula>
    </cfRule>
  </conditionalFormatting>
  <conditionalFormatting sqref="G3:G25 G27:G250 G252:G303 G305:G459 G461:G510 G513:G519 G521:G1982">
    <cfRule type="containsText" dxfId="17" priority="3" operator="containsText" text="TRUE">
      <formula>NOT(ISERROR(SEARCH(("TRUE"),(G3))))</formula>
    </cfRule>
  </conditionalFormatting>
  <conditionalFormatting sqref="G3:G1982">
    <cfRule type="notContainsText" dxfId="16" priority="4" operator="notContains" text=",(*)">
      <formula>ISERROR(SEARCH((",(*)"),(G3)))</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X125"/>
  <sheetViews>
    <sheetView workbookViewId="0">
      <selection activeCell="P12" sqref="P12"/>
    </sheetView>
  </sheetViews>
  <sheetFormatPr baseColWidth="10" defaultColWidth="12.6640625" defaultRowHeight="15.75" customHeight="1" x14ac:dyDescent="0.15"/>
  <cols>
    <col min="1" max="2" width="12.6640625" customWidth="1"/>
    <col min="3" max="5" width="12.6640625" hidden="1" customWidth="1"/>
    <col min="6" max="7" width="12.6640625" customWidth="1"/>
    <col min="8" max="9" width="12.6640625" hidden="1" customWidth="1"/>
    <col min="10" max="17" width="12.6640625" customWidth="1"/>
  </cols>
  <sheetData>
    <row r="1" spans="1:24" ht="15.75" customHeight="1" x14ac:dyDescent="0.15">
      <c r="A1" s="39" t="s">
        <v>2142</v>
      </c>
      <c r="B1" s="42"/>
      <c r="C1" s="1" t="s">
        <v>2143</v>
      </c>
      <c r="D1" s="1" t="s">
        <v>2144</v>
      </c>
      <c r="G1" s="43" t="s">
        <v>2145</v>
      </c>
      <c r="H1" s="44"/>
      <c r="I1" s="45" t="s">
        <v>2144</v>
      </c>
      <c r="J1" s="46"/>
      <c r="K1" s="43" t="s">
        <v>2146</v>
      </c>
      <c r="N1" s="47" t="s">
        <v>2147</v>
      </c>
      <c r="O1" s="48" t="s">
        <v>2148</v>
      </c>
      <c r="Q1" s="150"/>
      <c r="R1" s="147"/>
      <c r="S1" s="147"/>
      <c r="T1" s="147"/>
      <c r="U1" s="147"/>
      <c r="V1" s="147"/>
      <c r="W1" s="147"/>
      <c r="X1" s="147"/>
    </row>
    <row r="2" spans="1:24" ht="15.75" customHeight="1" x14ac:dyDescent="0.15">
      <c r="A2" s="49" t="s">
        <v>2128</v>
      </c>
      <c r="B2" s="50">
        <v>1</v>
      </c>
      <c r="C2" s="1">
        <v>1</v>
      </c>
      <c r="D2">
        <f t="shared" ref="D2:D10" si="0">(B2^2+B2-2)*2.5 - 10*C2</f>
        <v>-10</v>
      </c>
      <c r="E2" s="1" t="s">
        <v>9</v>
      </c>
      <c r="F2" s="51" t="s">
        <v>2149</v>
      </c>
      <c r="G2" s="52">
        <v>0</v>
      </c>
      <c r="H2" s="40"/>
      <c r="I2" s="53">
        <f>IF(G2&gt;0,(G2^2+G2+2)*2.5,0)</f>
        <v>0</v>
      </c>
      <c r="J2" s="54"/>
      <c r="K2" s="55"/>
      <c r="L2" s="56" t="s">
        <v>2150</v>
      </c>
      <c r="M2" s="57">
        <f>16+B2+O2</f>
        <v>17</v>
      </c>
      <c r="N2" s="58">
        <v>9</v>
      </c>
      <c r="O2" s="59">
        <v>0</v>
      </c>
      <c r="Q2" s="147"/>
      <c r="R2" s="147"/>
      <c r="S2" s="147"/>
      <c r="T2" s="147"/>
      <c r="U2" s="147"/>
      <c r="V2" s="147"/>
      <c r="W2" s="147"/>
      <c r="X2" s="147"/>
    </row>
    <row r="3" spans="1:24" ht="15.75" customHeight="1" x14ac:dyDescent="0.15">
      <c r="A3" s="60" t="s">
        <v>2129</v>
      </c>
      <c r="B3" s="59">
        <v>1</v>
      </c>
      <c r="C3" s="1">
        <v>1</v>
      </c>
      <c r="D3">
        <f t="shared" si="0"/>
        <v>-10</v>
      </c>
      <c r="E3" s="1" t="s">
        <v>2151</v>
      </c>
      <c r="F3" s="61" t="s">
        <v>2152</v>
      </c>
      <c r="G3" s="52">
        <v>0</v>
      </c>
      <c r="H3" s="62" t="s">
        <v>2137</v>
      </c>
      <c r="I3" s="53">
        <f t="shared" ref="I3:I6" si="1">IF(OR($I$2&gt;0,G3=0),0,(G3^2+G3+2))</f>
        <v>0</v>
      </c>
      <c r="J3" s="63" t="str">
        <f t="shared" ref="J3:J6" si="2">H3</f>
        <v>S</v>
      </c>
      <c r="K3" s="64">
        <f t="shared" ref="K3:K6" ca="1" si="3">OFFSET($B$1, MATCH(H3,$E$2:$E$9,0),0)+IF($G$2&gt;0,$G$2+MIN(CEILING($B$13/2,1),$G$2),G3+IF(G3=0,-1,0)+MIN(CEILING($B$13/2,1),G3))</f>
        <v>0</v>
      </c>
      <c r="L3" s="65" t="s">
        <v>2153</v>
      </c>
      <c r="M3" s="60">
        <f>16+B6+O3</f>
        <v>17</v>
      </c>
      <c r="N3" s="58">
        <v>9</v>
      </c>
      <c r="O3" s="59">
        <v>0</v>
      </c>
      <c r="Q3" s="147"/>
      <c r="R3" s="147"/>
      <c r="S3" s="147"/>
      <c r="T3" s="147"/>
      <c r="U3" s="147"/>
      <c r="V3" s="147"/>
      <c r="W3" s="147"/>
      <c r="X3" s="147"/>
    </row>
    <row r="4" spans="1:24" ht="15.75" customHeight="1" x14ac:dyDescent="0.15">
      <c r="A4" s="60" t="s">
        <v>2130</v>
      </c>
      <c r="B4" s="59">
        <v>1</v>
      </c>
      <c r="D4">
        <f t="shared" si="0"/>
        <v>0</v>
      </c>
      <c r="E4" s="1" t="s">
        <v>10</v>
      </c>
      <c r="F4" s="61" t="s">
        <v>2154</v>
      </c>
      <c r="G4" s="52">
        <v>0</v>
      </c>
      <c r="H4" s="62" t="s">
        <v>2151</v>
      </c>
      <c r="I4" s="53">
        <f t="shared" si="1"/>
        <v>0</v>
      </c>
      <c r="J4" s="63" t="str">
        <f t="shared" si="2"/>
        <v>A</v>
      </c>
      <c r="K4" s="64">
        <f t="shared" ca="1" si="3"/>
        <v>0</v>
      </c>
      <c r="L4" s="66" t="s">
        <v>2155</v>
      </c>
      <c r="M4" s="67">
        <f ca="1">16+OFFSET($B$1, MATCH(H22,$E$2:$E$9,0),0)+O4</f>
        <v>17</v>
      </c>
      <c r="N4" s="58">
        <v>9</v>
      </c>
      <c r="O4" s="68">
        <v>0</v>
      </c>
      <c r="Q4" s="147"/>
      <c r="R4" s="147"/>
      <c r="S4" s="147"/>
      <c r="T4" s="147"/>
      <c r="U4" s="147"/>
      <c r="V4" s="147"/>
      <c r="W4" s="147"/>
      <c r="X4" s="147"/>
    </row>
    <row r="5" spans="1:24" ht="15.75" customHeight="1" x14ac:dyDescent="0.15">
      <c r="A5" s="60" t="s">
        <v>2131</v>
      </c>
      <c r="B5" s="59">
        <v>1</v>
      </c>
      <c r="D5">
        <f t="shared" si="0"/>
        <v>0</v>
      </c>
      <c r="E5" s="1" t="s">
        <v>2137</v>
      </c>
      <c r="F5" s="61" t="s">
        <v>2156</v>
      </c>
      <c r="G5" s="52">
        <v>0</v>
      </c>
      <c r="H5" s="62" t="s">
        <v>9</v>
      </c>
      <c r="I5" s="53">
        <f t="shared" si="1"/>
        <v>0</v>
      </c>
      <c r="J5" s="63" t="str">
        <f t="shared" si="2"/>
        <v>B</v>
      </c>
      <c r="K5" s="64">
        <f t="shared" ca="1" si="3"/>
        <v>0</v>
      </c>
      <c r="L5" s="69" t="s">
        <v>2157</v>
      </c>
      <c r="M5" s="70">
        <f>B10</f>
        <v>1</v>
      </c>
      <c r="N5" s="71">
        <v>1</v>
      </c>
      <c r="O5" s="72"/>
      <c r="Q5" s="147"/>
      <c r="R5" s="147"/>
      <c r="S5" s="147"/>
      <c r="T5" s="147"/>
      <c r="U5" s="147"/>
      <c r="V5" s="147"/>
      <c r="W5" s="147"/>
      <c r="X5" s="147"/>
    </row>
    <row r="6" spans="1:24" ht="15.75" customHeight="1" x14ac:dyDescent="0.15">
      <c r="A6" s="60" t="s">
        <v>2132</v>
      </c>
      <c r="B6" s="59">
        <v>1</v>
      </c>
      <c r="D6">
        <f t="shared" si="0"/>
        <v>0</v>
      </c>
      <c r="E6" s="1" t="s">
        <v>7</v>
      </c>
      <c r="F6" s="61" t="s">
        <v>2158</v>
      </c>
      <c r="G6" s="52">
        <v>0</v>
      </c>
      <c r="H6" s="62" t="s">
        <v>10</v>
      </c>
      <c r="I6" s="53">
        <f t="shared" si="1"/>
        <v>0</v>
      </c>
      <c r="J6" s="63" t="str">
        <f t="shared" si="2"/>
        <v>R</v>
      </c>
      <c r="K6" s="64">
        <f t="shared" ca="1" si="3"/>
        <v>0</v>
      </c>
      <c r="L6" s="73" t="s">
        <v>2159</v>
      </c>
      <c r="M6" s="41">
        <f>B2</f>
        <v>1</v>
      </c>
      <c r="N6" s="74" t="s">
        <v>2160</v>
      </c>
      <c r="Q6" s="147"/>
      <c r="R6" s="147"/>
      <c r="S6" s="147"/>
      <c r="T6" s="147"/>
      <c r="U6" s="147"/>
      <c r="V6" s="147"/>
      <c r="W6" s="147"/>
      <c r="X6" s="147"/>
    </row>
    <row r="7" spans="1:24" ht="15.75" customHeight="1" x14ac:dyDescent="0.15">
      <c r="A7" s="60" t="s">
        <v>2133</v>
      </c>
      <c r="B7" s="59">
        <v>1</v>
      </c>
      <c r="D7">
        <f t="shared" si="0"/>
        <v>0</v>
      </c>
      <c r="E7" s="1" t="s">
        <v>2161</v>
      </c>
      <c r="F7" s="75" t="s">
        <v>2162</v>
      </c>
      <c r="G7" s="52">
        <v>0</v>
      </c>
      <c r="H7" s="40"/>
      <c r="I7" s="53">
        <f>IF(G7&gt;0,(G7^2+G7+2)*2.5,0)</f>
        <v>0</v>
      </c>
      <c r="J7" s="76"/>
      <c r="K7" s="77"/>
      <c r="L7" s="56" t="s">
        <v>2163</v>
      </c>
      <c r="M7" s="44">
        <f>CEILING(((2-1*(L11="Light Armor"))*B2+B8)/2,1)+N7</f>
        <v>2</v>
      </c>
      <c r="N7" s="78"/>
      <c r="Q7" s="147"/>
      <c r="R7" s="147"/>
      <c r="S7" s="147"/>
      <c r="T7" s="147"/>
      <c r="U7" s="147"/>
      <c r="V7" s="147"/>
      <c r="W7" s="147"/>
      <c r="X7" s="147"/>
    </row>
    <row r="8" spans="1:24" ht="15.75" customHeight="1" x14ac:dyDescent="0.15">
      <c r="A8" s="60" t="s">
        <v>2134</v>
      </c>
      <c r="B8" s="59">
        <v>1</v>
      </c>
      <c r="D8">
        <f t="shared" si="0"/>
        <v>0</v>
      </c>
      <c r="E8" s="1" t="s">
        <v>2139</v>
      </c>
      <c r="F8" s="61" t="s">
        <v>2164</v>
      </c>
      <c r="G8" s="52">
        <v>0</v>
      </c>
      <c r="H8" s="62" t="s">
        <v>2161</v>
      </c>
      <c r="I8" s="53">
        <f t="shared" ref="I8:I11" si="4">IF(OR($I$7&gt;0,G8=0),0,(G8^2+G8+2))</f>
        <v>0</v>
      </c>
      <c r="J8" s="63" t="str">
        <f t="shared" ref="J8:J11" si="5">H8</f>
        <v>I</v>
      </c>
      <c r="K8" s="64">
        <f t="shared" ref="K8:K11" ca="1" si="6">OFFSET($B$1, MATCH(H8,$E$2:$E$9,0),0)+IF($G$7&gt;0,$G$7+MIN(CEILING($B$13/2,1),$G$7),G8+IF(G8=0,-1,0)+MIN(CEILING($B$13/2,1),G8))</f>
        <v>0</v>
      </c>
      <c r="L8" s="66" t="s">
        <v>2165</v>
      </c>
      <c r="M8" s="79">
        <f>CEILING((B3+2*B5)/2,1)+N8</f>
        <v>2</v>
      </c>
      <c r="N8" s="78"/>
      <c r="Q8" s="147"/>
      <c r="R8" s="147"/>
      <c r="S8" s="147"/>
      <c r="T8" s="147"/>
      <c r="U8" s="147"/>
      <c r="V8" s="147"/>
      <c r="W8" s="147"/>
      <c r="X8" s="147"/>
    </row>
    <row r="9" spans="1:24" ht="15.75" customHeight="1" x14ac:dyDescent="0.15">
      <c r="A9" s="60" t="s">
        <v>2135</v>
      </c>
      <c r="B9" s="59">
        <v>1</v>
      </c>
      <c r="D9">
        <f t="shared" si="0"/>
        <v>0</v>
      </c>
      <c r="E9" s="1" t="s">
        <v>2138</v>
      </c>
      <c r="F9" s="61" t="s">
        <v>2166</v>
      </c>
      <c r="G9" s="52">
        <v>0</v>
      </c>
      <c r="H9" s="62" t="s">
        <v>7</v>
      </c>
      <c r="I9" s="53">
        <f t="shared" si="4"/>
        <v>0</v>
      </c>
      <c r="J9" s="63" t="str">
        <f t="shared" si="5"/>
        <v>W</v>
      </c>
      <c r="K9" s="64">
        <f t="shared" ca="1" si="6"/>
        <v>0</v>
      </c>
      <c r="L9" s="66" t="s">
        <v>2167</v>
      </c>
      <c r="M9" s="79">
        <f>CEILING((2*B6+B9)/2,1)+N9</f>
        <v>2</v>
      </c>
      <c r="N9" s="78"/>
      <c r="Q9" s="147"/>
      <c r="R9" s="147"/>
      <c r="S9" s="147"/>
      <c r="T9" s="147"/>
      <c r="U9" s="147"/>
      <c r="V9" s="147"/>
      <c r="W9" s="147"/>
      <c r="X9" s="147"/>
    </row>
    <row r="10" spans="1:24" ht="15.75" customHeight="1" x14ac:dyDescent="0.15">
      <c r="A10" s="60" t="s">
        <v>2157</v>
      </c>
      <c r="B10" s="59">
        <v>1</v>
      </c>
      <c r="D10">
        <f t="shared" si="0"/>
        <v>0</v>
      </c>
      <c r="F10" s="61" t="s">
        <v>2168</v>
      </c>
      <c r="G10" s="52">
        <v>0</v>
      </c>
      <c r="H10" s="62" t="s">
        <v>2139</v>
      </c>
      <c r="I10" s="53">
        <f t="shared" si="4"/>
        <v>0</v>
      </c>
      <c r="J10" s="63" t="str">
        <f t="shared" si="5"/>
        <v>L</v>
      </c>
      <c r="K10" s="64">
        <f t="shared" ca="1" si="6"/>
        <v>0</v>
      </c>
      <c r="L10" s="69" t="s">
        <v>2169</v>
      </c>
      <c r="M10" s="80">
        <f>2*B6+N10</f>
        <v>2</v>
      </c>
      <c r="N10" s="81"/>
    </row>
    <row r="11" spans="1:24" ht="15.75" customHeight="1" x14ac:dyDescent="0.15">
      <c r="A11" s="82" t="s">
        <v>2170</v>
      </c>
      <c r="B11" s="68" t="s">
        <v>2134</v>
      </c>
      <c r="C11" s="41"/>
      <c r="F11" s="61" t="s">
        <v>2171</v>
      </c>
      <c r="G11" s="52">
        <v>0</v>
      </c>
      <c r="H11" s="62" t="s">
        <v>2161</v>
      </c>
      <c r="I11" s="53">
        <f t="shared" si="4"/>
        <v>0</v>
      </c>
      <c r="J11" s="63" t="str">
        <f t="shared" si="5"/>
        <v>I</v>
      </c>
      <c r="K11" s="64">
        <f t="shared" ca="1" si="6"/>
        <v>0</v>
      </c>
      <c r="L11" s="83" t="s">
        <v>2172</v>
      </c>
      <c r="M11" s="84" t="s">
        <v>921</v>
      </c>
      <c r="N11" s="41" t="s">
        <v>2173</v>
      </c>
      <c r="O11" s="85" t="s">
        <v>2160</v>
      </c>
      <c r="Q11" s="150"/>
      <c r="R11" s="147"/>
      <c r="S11" s="147"/>
      <c r="T11" s="147"/>
      <c r="U11" s="147"/>
      <c r="V11" s="147"/>
      <c r="W11" s="147"/>
      <c r="X11" s="147"/>
    </row>
    <row r="12" spans="1:24" ht="15.75" customHeight="1" x14ac:dyDescent="0.15">
      <c r="F12" s="75" t="s">
        <v>2174</v>
      </c>
      <c r="G12" s="52">
        <v>0</v>
      </c>
      <c r="H12" s="40"/>
      <c r="I12" s="53">
        <f>IF(G12&gt;0,(G12^2+G12+2)*2.5,0)</f>
        <v>0</v>
      </c>
      <c r="J12" s="76"/>
      <c r="K12" s="77"/>
      <c r="L12" s="86" t="s">
        <v>2136</v>
      </c>
      <c r="M12" s="79">
        <f>B7+B4</f>
        <v>2</v>
      </c>
      <c r="N12" s="62">
        <f>M12+G26+MIN(G26,CEILING(B13/2,1))+O12+(G26*(L11="Light Armor"))</f>
        <v>2</v>
      </c>
      <c r="O12" s="87"/>
      <c r="Q12" s="147"/>
      <c r="R12" s="147"/>
      <c r="S12" s="147"/>
      <c r="T12" s="147"/>
      <c r="U12" s="147"/>
      <c r="V12" s="147"/>
      <c r="W12" s="147"/>
      <c r="X12" s="147"/>
    </row>
    <row r="13" spans="1:24" ht="15.75" customHeight="1" x14ac:dyDescent="0.15">
      <c r="A13" s="49" t="s">
        <v>2175</v>
      </c>
      <c r="B13" s="50">
        <v>1</v>
      </c>
      <c r="C13">
        <f>(B13^2+7*B13-8)*2.5</f>
        <v>0</v>
      </c>
      <c r="F13" s="61" t="s">
        <v>2176</v>
      </c>
      <c r="G13" s="52">
        <v>0</v>
      </c>
      <c r="H13" s="62" t="s">
        <v>2138</v>
      </c>
      <c r="I13" s="53">
        <f t="shared" ref="I13:I16" si="7">IF(OR($I$12&gt;0,G13=0),0,(G13^2+G13+2))</f>
        <v>0</v>
      </c>
      <c r="J13" s="63" t="str">
        <f t="shared" ref="J13:J16" si="8">H13</f>
        <v>C</v>
      </c>
      <c r="K13" s="64">
        <f t="shared" ref="K13:K16" ca="1" si="9">OFFSET($B$1, MATCH(H13,$E$2:$E$9,0),0)+IF($G$12&gt;0,$G$12+MIN(CEILING($B$13/2,1),$G$12),G13+IF(G13=0,-1,0)+MIN(CEILING($B$13/2,1),G13))</f>
        <v>0</v>
      </c>
      <c r="L13" s="88" t="s">
        <v>2177</v>
      </c>
      <c r="M13" s="79" t="s">
        <v>2178</v>
      </c>
      <c r="N13" s="62">
        <f ca="1">M12+G24+MIN(CEILING(B13/2,1),G24)+O13+N30</f>
        <v>3</v>
      </c>
      <c r="O13" s="87"/>
      <c r="Q13" s="147"/>
      <c r="R13" s="147"/>
      <c r="S13" s="147"/>
      <c r="T13" s="147"/>
      <c r="U13" s="147"/>
      <c r="V13" s="147"/>
      <c r="W13" s="147"/>
      <c r="X13" s="147"/>
    </row>
    <row r="14" spans="1:24" ht="15.75" customHeight="1" x14ac:dyDescent="0.15">
      <c r="A14" s="89" t="s">
        <v>7</v>
      </c>
      <c r="B14" s="59">
        <v>0</v>
      </c>
      <c r="F14" s="61" t="s">
        <v>2179</v>
      </c>
      <c r="G14" s="52">
        <v>0</v>
      </c>
      <c r="H14" s="62" t="s">
        <v>2161</v>
      </c>
      <c r="I14" s="53">
        <f t="shared" si="7"/>
        <v>0</v>
      </c>
      <c r="J14" s="63" t="str">
        <f t="shared" si="8"/>
        <v>I</v>
      </c>
      <c r="K14" s="64">
        <f t="shared" ca="1" si="9"/>
        <v>0</v>
      </c>
      <c r="L14" s="88" t="s">
        <v>2180</v>
      </c>
      <c r="M14" s="79" t="s">
        <v>2178</v>
      </c>
      <c r="N14" s="62">
        <f ca="1">M12+G24+MIN(CEILING(B13/2,1),G24)+O14+N34</f>
        <v>2</v>
      </c>
      <c r="O14" s="87"/>
      <c r="Q14" s="147"/>
      <c r="R14" s="147"/>
      <c r="S14" s="147"/>
      <c r="T14" s="147"/>
      <c r="U14" s="147"/>
      <c r="V14" s="147"/>
      <c r="W14" s="147"/>
      <c r="X14" s="147"/>
    </row>
    <row r="15" spans="1:24" ht="15.75" customHeight="1" x14ac:dyDescent="0.15">
      <c r="A15" s="90" t="s">
        <v>8</v>
      </c>
      <c r="B15" s="59">
        <v>0</v>
      </c>
      <c r="F15" s="61" t="s">
        <v>2181</v>
      </c>
      <c r="G15" s="52">
        <v>0</v>
      </c>
      <c r="H15" s="62" t="s">
        <v>2138</v>
      </c>
      <c r="I15" s="53">
        <f t="shared" si="7"/>
        <v>0</v>
      </c>
      <c r="J15" s="63" t="str">
        <f t="shared" si="8"/>
        <v>C</v>
      </c>
      <c r="K15" s="64">
        <f t="shared" ca="1" si="9"/>
        <v>0</v>
      </c>
      <c r="L15" s="88" t="s">
        <v>2182</v>
      </c>
      <c r="M15" s="79">
        <f>B2+B3</f>
        <v>2</v>
      </c>
      <c r="N15" s="62">
        <f>M15+G27+MIN(CEILING(B13/2,1),G27)+O15</f>
        <v>2</v>
      </c>
      <c r="O15" s="87"/>
      <c r="Q15" s="147"/>
      <c r="R15" s="147"/>
      <c r="S15" s="147"/>
      <c r="T15" s="147"/>
      <c r="U15" s="147"/>
      <c r="V15" s="147"/>
      <c r="W15" s="147"/>
      <c r="X15" s="147"/>
    </row>
    <row r="16" spans="1:24" ht="15.75" customHeight="1" x14ac:dyDescent="0.15">
      <c r="A16" s="91" t="s">
        <v>9</v>
      </c>
      <c r="B16" s="59">
        <v>0</v>
      </c>
      <c r="F16" s="61" t="s">
        <v>2183</v>
      </c>
      <c r="G16" s="52">
        <v>0</v>
      </c>
      <c r="H16" s="62" t="s">
        <v>2138</v>
      </c>
      <c r="I16" s="53">
        <f t="shared" si="7"/>
        <v>0</v>
      </c>
      <c r="J16" s="63" t="str">
        <f t="shared" si="8"/>
        <v>C</v>
      </c>
      <c r="K16" s="64">
        <f t="shared" ca="1" si="9"/>
        <v>0</v>
      </c>
      <c r="L16" s="92" t="s">
        <v>2184</v>
      </c>
      <c r="M16" s="80">
        <f>B6+B9</f>
        <v>2</v>
      </c>
      <c r="N16" s="93">
        <f>M16+G27+MIN(CEILING(B13/2,1),G27)+O16</f>
        <v>2</v>
      </c>
      <c r="O16" s="94"/>
      <c r="Q16" s="147"/>
      <c r="R16" s="147"/>
      <c r="S16" s="147"/>
      <c r="T16" s="147"/>
      <c r="U16" s="147"/>
      <c r="V16" s="147"/>
      <c r="W16" s="147"/>
      <c r="X16" s="147"/>
    </row>
    <row r="17" spans="1:24" ht="15.75" customHeight="1" x14ac:dyDescent="0.15">
      <c r="A17" s="95" t="s">
        <v>10</v>
      </c>
      <c r="B17" s="59">
        <v>0</v>
      </c>
      <c r="F17" s="75" t="s">
        <v>2185</v>
      </c>
      <c r="G17" s="52">
        <v>0</v>
      </c>
      <c r="H17" s="40"/>
      <c r="I17" s="53">
        <f>IF(G17&gt;0,(G17^2+G17+2)*2.5,0)</f>
        <v>0</v>
      </c>
      <c r="J17" s="76"/>
      <c r="K17" s="77"/>
      <c r="M17" s="96">
        <v>1</v>
      </c>
      <c r="N17" s="96">
        <v>2</v>
      </c>
      <c r="O17" s="96">
        <v>3</v>
      </c>
      <c r="Q17" s="147"/>
      <c r="R17" s="147"/>
      <c r="S17" s="147"/>
      <c r="T17" s="147"/>
      <c r="U17" s="147"/>
      <c r="V17" s="147"/>
      <c r="W17" s="147"/>
      <c r="X17" s="147"/>
    </row>
    <row r="18" spans="1:24" ht="15.75" customHeight="1" x14ac:dyDescent="0.15">
      <c r="A18" s="97" t="s">
        <v>11</v>
      </c>
      <c r="B18" s="68">
        <v>0</v>
      </c>
      <c r="F18" s="61" t="s">
        <v>2186</v>
      </c>
      <c r="G18" s="52">
        <v>0</v>
      </c>
      <c r="H18" s="62" t="s">
        <v>2161</v>
      </c>
      <c r="I18" s="53">
        <f t="shared" ref="I18:I21" si="10">IF(OR($I$17&gt;0,G18=0),0,(G18^2+G18+2))</f>
        <v>0</v>
      </c>
      <c r="J18" s="63" t="str">
        <f t="shared" ref="J18:J25" si="11">H18</f>
        <v>I</v>
      </c>
      <c r="K18" s="64">
        <f t="shared" ref="K18:K21" ca="1" si="12">OFFSET($B$1, MATCH(H18,$E$2:$E$9,0),0)+IF($G$17&gt;0,$G$17+MIN(CEILING($B$13/2,1),$G$17),G18+IF(G18=0,-1,0)+MIN(CEILING($B$13/2,1),G18))</f>
        <v>0</v>
      </c>
      <c r="M18" s="1" t="s">
        <v>2187</v>
      </c>
      <c r="N18" s="1" t="s">
        <v>2187</v>
      </c>
      <c r="O18" s="1" t="s">
        <v>2187</v>
      </c>
      <c r="Q18" s="147"/>
      <c r="R18" s="147"/>
      <c r="S18" s="147"/>
      <c r="T18" s="147"/>
      <c r="U18" s="147"/>
      <c r="V18" s="147"/>
      <c r="W18" s="147"/>
      <c r="X18" s="147"/>
    </row>
    <row r="19" spans="1:24" ht="15.75" customHeight="1" x14ac:dyDescent="0.15">
      <c r="D19" s="1" t="s">
        <v>2188</v>
      </c>
      <c r="F19" s="61" t="s">
        <v>2189</v>
      </c>
      <c r="G19" s="52">
        <v>0</v>
      </c>
      <c r="H19" s="62" t="s">
        <v>2151</v>
      </c>
      <c r="I19" s="53">
        <f t="shared" si="10"/>
        <v>0</v>
      </c>
      <c r="J19" s="63" t="str">
        <f t="shared" si="11"/>
        <v>A</v>
      </c>
      <c r="K19" s="64">
        <f t="shared" ca="1" si="12"/>
        <v>0</v>
      </c>
      <c r="L19" s="98" t="s">
        <v>2127</v>
      </c>
      <c r="M19" s="99"/>
      <c r="N19" s="100"/>
      <c r="O19" s="101"/>
      <c r="Q19" s="147"/>
      <c r="R19" s="147"/>
      <c r="S19" s="147"/>
      <c r="T19" s="147"/>
      <c r="U19" s="147"/>
      <c r="V19" s="147"/>
      <c r="W19" s="147"/>
      <c r="X19" s="147"/>
    </row>
    <row r="20" spans="1:24" ht="15.75" customHeight="1" x14ac:dyDescent="0.15">
      <c r="A20" s="102" t="s">
        <v>2190</v>
      </c>
      <c r="B20" s="103">
        <f ca="1">SUM(D2:D10)+SUM(C13:C18)+SUM(I2:I36)+SUM(G41:G125)-MIN(SUM(I28:I36),D20)</f>
        <v>20</v>
      </c>
      <c r="D20">
        <f>(B8+B7)*10</f>
        <v>20</v>
      </c>
      <c r="F20" s="61" t="s">
        <v>2191</v>
      </c>
      <c r="G20" s="104">
        <v>0</v>
      </c>
      <c r="H20" s="62" t="s">
        <v>2151</v>
      </c>
      <c r="I20" s="53">
        <f t="shared" si="10"/>
        <v>0</v>
      </c>
      <c r="J20" s="63" t="str">
        <f t="shared" si="11"/>
        <v>A</v>
      </c>
      <c r="K20" s="105">
        <f t="shared" ca="1" si="12"/>
        <v>0</v>
      </c>
      <c r="L20" s="106" t="s">
        <v>2192</v>
      </c>
      <c r="M20" s="107" t="s">
        <v>2193</v>
      </c>
      <c r="N20" s="108" t="s">
        <v>2194</v>
      </c>
      <c r="O20" s="109" t="s">
        <v>2195</v>
      </c>
    </row>
    <row r="21" spans="1:24" ht="15.75" customHeight="1" x14ac:dyDescent="0.15">
      <c r="A21" s="102" t="s">
        <v>2196</v>
      </c>
      <c r="B21" s="102">
        <v>1620</v>
      </c>
      <c r="F21" s="110" t="s">
        <v>2197</v>
      </c>
      <c r="G21" s="111">
        <v>0</v>
      </c>
      <c r="H21" s="93" t="s">
        <v>2151</v>
      </c>
      <c r="I21" s="112">
        <f t="shared" si="10"/>
        <v>0</v>
      </c>
      <c r="J21" s="113" t="str">
        <f t="shared" si="11"/>
        <v>A</v>
      </c>
      <c r="K21" s="114">
        <f t="shared" ca="1" si="12"/>
        <v>0</v>
      </c>
      <c r="L21" s="106" t="s">
        <v>2198</v>
      </c>
      <c r="M21" s="115">
        <v>4</v>
      </c>
      <c r="N21" s="116">
        <v>4</v>
      </c>
      <c r="O21" s="59">
        <v>6</v>
      </c>
      <c r="Q21" s="150"/>
      <c r="R21" s="147"/>
      <c r="S21" s="147"/>
      <c r="T21" s="147"/>
      <c r="U21" s="147"/>
      <c r="V21" s="147"/>
      <c r="W21" s="147"/>
      <c r="X21" s="147"/>
    </row>
    <row r="22" spans="1:24" ht="15.75" customHeight="1" x14ac:dyDescent="0.15">
      <c r="F22" s="61" t="s">
        <v>2199</v>
      </c>
      <c r="G22" s="117">
        <v>0</v>
      </c>
      <c r="H22" s="118" t="str">
        <f t="shared" ref="H22:H23" ca="1" si="13">OFFSET($E$1, MATCH($B$11,$A$2:$A$10,0),0)</f>
        <v>L</v>
      </c>
      <c r="I22" s="38">
        <f t="shared" ref="I22:I27" si="14">IF(G22&gt;0,(G22^2+G22+2),0)</f>
        <v>0</v>
      </c>
      <c r="J22" s="119" t="str">
        <f t="shared" ca="1" si="11"/>
        <v>L</v>
      </c>
      <c r="K22" s="120">
        <f t="shared" ref="K22:K25" ca="1" si="15">OFFSET($B$1, MATCH(H22,$E$2:$E$9,0),0)+G22+MIN(CEILING($B$13/2,1),G22)</f>
        <v>1</v>
      </c>
      <c r="L22" s="106" t="s">
        <v>2200</v>
      </c>
      <c r="M22" s="79">
        <f t="shared" ref="M22:O22" ca="1" si="16">IF(M$18="Melee", OFFSET($B$24,0,MATCH(M$20,$C$23:$E$23,0))-M$21,0)</f>
        <v>1</v>
      </c>
      <c r="N22" s="62">
        <f t="shared" ca="1" si="16"/>
        <v>2</v>
      </c>
      <c r="O22" s="64">
        <f t="shared" ca="1" si="16"/>
        <v>2</v>
      </c>
      <c r="Q22" s="147"/>
      <c r="R22" s="147"/>
      <c r="S22" s="147"/>
      <c r="T22" s="147"/>
      <c r="U22" s="147"/>
      <c r="V22" s="147"/>
      <c r="W22" s="147"/>
      <c r="X22" s="147"/>
    </row>
    <row r="23" spans="1:24" ht="15.75" customHeight="1" x14ac:dyDescent="0.15">
      <c r="C23" s="1" t="s">
        <v>2193</v>
      </c>
      <c r="D23" s="1" t="s">
        <v>2194</v>
      </c>
      <c r="E23" s="1" t="s">
        <v>2195</v>
      </c>
      <c r="F23" s="61" t="s">
        <v>2201</v>
      </c>
      <c r="G23" s="52">
        <v>0</v>
      </c>
      <c r="H23" s="62" t="str">
        <f t="shared" ca="1" si="13"/>
        <v>L</v>
      </c>
      <c r="I23" s="53">
        <f t="shared" si="14"/>
        <v>0</v>
      </c>
      <c r="J23" s="63" t="str">
        <f t="shared" ca="1" si="11"/>
        <v>L</v>
      </c>
      <c r="K23" s="120">
        <f t="shared" ca="1" si="15"/>
        <v>1</v>
      </c>
      <c r="L23" s="106" t="s">
        <v>2202</v>
      </c>
      <c r="M23" s="121">
        <f t="shared" ref="M23:O23" si="17">M$21+$B$5</f>
        <v>5</v>
      </c>
      <c r="N23" s="102">
        <f t="shared" si="17"/>
        <v>5</v>
      </c>
      <c r="O23" s="122">
        <f t="shared" si="17"/>
        <v>7</v>
      </c>
      <c r="Q23" s="147"/>
      <c r="R23" s="147"/>
      <c r="S23" s="147"/>
      <c r="T23" s="147"/>
      <c r="U23" s="147"/>
      <c r="V23" s="147"/>
      <c r="W23" s="147"/>
      <c r="X23" s="147"/>
    </row>
    <row r="24" spans="1:24" ht="15.75" customHeight="1" x14ac:dyDescent="0.15">
      <c r="C24" s="1">
        <v>5</v>
      </c>
      <c r="D24" s="1">
        <v>6</v>
      </c>
      <c r="E24" s="1">
        <v>8</v>
      </c>
      <c r="F24" s="61" t="s">
        <v>2203</v>
      </c>
      <c r="G24" s="52">
        <v>0</v>
      </c>
      <c r="H24" s="62" t="s">
        <v>2151</v>
      </c>
      <c r="I24" s="53">
        <f t="shared" si="14"/>
        <v>0</v>
      </c>
      <c r="J24" s="63" t="str">
        <f t="shared" si="11"/>
        <v>A</v>
      </c>
      <c r="K24" s="120">
        <f t="shared" ca="1" si="15"/>
        <v>1</v>
      </c>
      <c r="L24" s="106" t="s">
        <v>2146</v>
      </c>
      <c r="M24" s="121">
        <f t="shared" ref="M24:O24" ca="1" si="18">$K$24+M$22+IF(AND(M$20="2H",M$25="Buckler"),-2,0)</f>
        <v>2</v>
      </c>
      <c r="N24" s="102">
        <f t="shared" ca="1" si="18"/>
        <v>3</v>
      </c>
      <c r="O24" s="122">
        <f t="shared" ca="1" si="18"/>
        <v>3</v>
      </c>
      <c r="Q24" s="147"/>
      <c r="R24" s="147"/>
      <c r="S24" s="147"/>
      <c r="T24" s="147"/>
      <c r="U24" s="147"/>
      <c r="V24" s="147"/>
      <c r="W24" s="147"/>
      <c r="X24" s="147"/>
    </row>
    <row r="25" spans="1:24" ht="15.75" customHeight="1" x14ac:dyDescent="0.15">
      <c r="F25" s="61" t="s">
        <v>2204</v>
      </c>
      <c r="G25" s="52">
        <v>0</v>
      </c>
      <c r="H25" s="62" t="s">
        <v>2161</v>
      </c>
      <c r="I25" s="53">
        <f t="shared" si="14"/>
        <v>0</v>
      </c>
      <c r="J25" s="63" t="str">
        <f t="shared" si="11"/>
        <v>I</v>
      </c>
      <c r="K25" s="120">
        <f t="shared" ca="1" si="15"/>
        <v>1</v>
      </c>
      <c r="L25" s="106" t="s">
        <v>2205</v>
      </c>
      <c r="M25" s="123" t="s">
        <v>2206</v>
      </c>
      <c r="N25" s="124" t="s">
        <v>2206</v>
      </c>
      <c r="O25" s="78" t="s">
        <v>2206</v>
      </c>
      <c r="Q25" s="147"/>
      <c r="R25" s="147"/>
      <c r="S25" s="147"/>
      <c r="T25" s="147"/>
      <c r="U25" s="147"/>
      <c r="V25" s="147"/>
      <c r="W25" s="147"/>
      <c r="X25" s="147"/>
    </row>
    <row r="26" spans="1:24" ht="15.75" customHeight="1" x14ac:dyDescent="0.15">
      <c r="F26" s="61" t="s">
        <v>2136</v>
      </c>
      <c r="G26" s="115">
        <v>0</v>
      </c>
      <c r="H26" s="62" t="s">
        <v>2207</v>
      </c>
      <c r="I26" s="53">
        <f t="shared" si="14"/>
        <v>0</v>
      </c>
      <c r="J26" s="76"/>
      <c r="K26" s="77"/>
      <c r="L26" s="125" t="s">
        <v>2208</v>
      </c>
      <c r="M26" s="80">
        <f t="shared" ref="M26:O26" ca="1" si="19">OFFSET($D$30,MATCH(M$25,$D$26:$D$31,0),0)</f>
        <v>0</v>
      </c>
      <c r="N26" s="93">
        <f t="shared" ca="1" si="19"/>
        <v>0</v>
      </c>
      <c r="O26" s="126">
        <f t="shared" ca="1" si="19"/>
        <v>0</v>
      </c>
      <c r="Q26" s="147"/>
      <c r="R26" s="147"/>
      <c r="S26" s="147"/>
      <c r="T26" s="147"/>
      <c r="U26" s="147"/>
      <c r="V26" s="147"/>
      <c r="W26" s="147"/>
      <c r="X26" s="147"/>
    </row>
    <row r="27" spans="1:24" ht="15.75" customHeight="1" x14ac:dyDescent="0.15">
      <c r="C27" s="1" t="s">
        <v>2206</v>
      </c>
      <c r="D27" s="1" t="s">
        <v>2206</v>
      </c>
      <c r="E27" s="1" t="s">
        <v>2206</v>
      </c>
      <c r="F27" s="110" t="s">
        <v>2209</v>
      </c>
      <c r="G27" s="111">
        <v>0</v>
      </c>
      <c r="H27" s="93" t="s">
        <v>2207</v>
      </c>
      <c r="I27" s="112">
        <f t="shared" si="14"/>
        <v>0</v>
      </c>
      <c r="J27" s="127"/>
      <c r="K27" s="128"/>
      <c r="M27" s="1" t="s">
        <v>2210</v>
      </c>
      <c r="N27" s="1">
        <v>1</v>
      </c>
      <c r="Q27" s="147"/>
      <c r="R27" s="147"/>
      <c r="S27" s="147"/>
      <c r="T27" s="147"/>
      <c r="U27" s="147"/>
      <c r="V27" s="147"/>
      <c r="W27" s="147"/>
      <c r="X27" s="147"/>
    </row>
    <row r="28" spans="1:24" ht="15.75" customHeight="1" x14ac:dyDescent="0.15">
      <c r="B28" s="129"/>
      <c r="C28" s="1" t="s">
        <v>2211</v>
      </c>
      <c r="D28" s="1" t="s">
        <v>2211</v>
      </c>
      <c r="E28" s="1" t="s">
        <v>2211</v>
      </c>
      <c r="F28" s="130" t="s">
        <v>2212</v>
      </c>
      <c r="G28" s="108">
        <v>0</v>
      </c>
      <c r="H28" s="41" t="str">
        <f t="shared" ref="H28:H36" si="20">J28</f>
        <v>L</v>
      </c>
      <c r="I28">
        <f t="shared" ref="I28:I36" si="21">IF(G28&gt;0,(G28^2+G28+2),0)/2</f>
        <v>0</v>
      </c>
      <c r="J28" s="99" t="s">
        <v>2139</v>
      </c>
      <c r="K28" s="120">
        <f t="shared" ref="K28:K36" ca="1" si="22">OFFSET($B$1, MATCH(H28,$E$2:$E$9,0),0)+G28+MIN(CEILING($B$13/2,1),G28)</f>
        <v>1</v>
      </c>
      <c r="M28" s="131" t="s">
        <v>2192</v>
      </c>
      <c r="N28" s="132" t="str">
        <f ca="1">OFFSET(L20,0,$N$27)</f>
        <v>Light</v>
      </c>
      <c r="O28" s="133" t="s">
        <v>2213</v>
      </c>
      <c r="Q28" s="147"/>
      <c r="R28" s="147"/>
      <c r="S28" s="147"/>
      <c r="T28" s="147"/>
      <c r="U28" s="147"/>
      <c r="V28" s="147"/>
      <c r="W28" s="147"/>
      <c r="X28" s="147"/>
    </row>
    <row r="29" spans="1:24" ht="15.75" customHeight="1" x14ac:dyDescent="0.15">
      <c r="B29" s="134"/>
      <c r="C29" s="1" t="s">
        <v>2214</v>
      </c>
      <c r="D29" s="1" t="s">
        <v>2214</v>
      </c>
      <c r="F29" s="40" t="s">
        <v>2212</v>
      </c>
      <c r="G29" s="116">
        <v>0</v>
      </c>
      <c r="H29" s="41" t="str">
        <f t="shared" si="20"/>
        <v>L</v>
      </c>
      <c r="I29">
        <f t="shared" si="21"/>
        <v>0</v>
      </c>
      <c r="J29" s="135" t="s">
        <v>2139</v>
      </c>
      <c r="K29" s="64">
        <f t="shared" ca="1" si="22"/>
        <v>1</v>
      </c>
      <c r="M29" s="136" t="s">
        <v>2198</v>
      </c>
      <c r="N29" s="122">
        <f ca="1">OFFSET(L21,0,$N$27)-2*(O33&lt;&gt;"None")</f>
        <v>4</v>
      </c>
      <c r="O29" s="137">
        <f ca="1">MAX(0,FLOOR(N30/2,1)-1)*5+5</f>
        <v>5</v>
      </c>
      <c r="Q29" s="147"/>
      <c r="R29" s="147"/>
      <c r="S29" s="147"/>
      <c r="T29" s="147"/>
      <c r="U29" s="147"/>
      <c r="V29" s="147"/>
      <c r="W29" s="147"/>
      <c r="X29" s="147"/>
    </row>
    <row r="30" spans="1:24" ht="15.75" customHeight="1" x14ac:dyDescent="0.15">
      <c r="B30" s="134"/>
      <c r="C30" s="1" t="s">
        <v>2215</v>
      </c>
      <c r="D30" s="1" t="s">
        <v>2215</v>
      </c>
      <c r="F30" s="40" t="s">
        <v>2212</v>
      </c>
      <c r="G30" s="116">
        <v>0</v>
      </c>
      <c r="H30" s="41" t="str">
        <f t="shared" si="20"/>
        <v>L</v>
      </c>
      <c r="I30">
        <f t="shared" si="21"/>
        <v>0</v>
      </c>
      <c r="J30" s="135" t="s">
        <v>2139</v>
      </c>
      <c r="K30" s="64">
        <f t="shared" ca="1" si="22"/>
        <v>1</v>
      </c>
      <c r="M30" s="136" t="s">
        <v>2200</v>
      </c>
      <c r="N30" s="105">
        <f ca="1">OFFSET(L22,0,$N$27)+O31</f>
        <v>1</v>
      </c>
      <c r="O30" s="47" t="s">
        <v>2216</v>
      </c>
    </row>
    <row r="31" spans="1:24" ht="15.75" customHeight="1" x14ac:dyDescent="0.15">
      <c r="B31" s="134"/>
      <c r="C31" s="1" t="s">
        <v>2217</v>
      </c>
      <c r="D31" s="1" t="s">
        <v>2217</v>
      </c>
      <c r="F31" s="40" t="s">
        <v>2212</v>
      </c>
      <c r="G31" s="116">
        <v>0</v>
      </c>
      <c r="H31" s="41" t="str">
        <f t="shared" si="20"/>
        <v>L</v>
      </c>
      <c r="I31">
        <f t="shared" si="21"/>
        <v>0</v>
      </c>
      <c r="J31" s="135" t="s">
        <v>2139</v>
      </c>
      <c r="K31" s="64">
        <f t="shared" ca="1" si="22"/>
        <v>1</v>
      </c>
      <c r="M31" s="136" t="s">
        <v>2202</v>
      </c>
      <c r="N31" s="138">
        <f t="shared" ref="N31:N34" ca="1" si="23">OFFSET(L23,0,$N$27)</f>
        <v>5</v>
      </c>
      <c r="O31" s="139">
        <v>0</v>
      </c>
      <c r="Q31" s="150"/>
      <c r="R31" s="147"/>
      <c r="S31" s="147"/>
      <c r="T31" s="147"/>
      <c r="U31" s="147"/>
      <c r="V31" s="147"/>
      <c r="W31" s="147"/>
      <c r="X31" s="147"/>
    </row>
    <row r="32" spans="1:24" ht="15.75" customHeight="1" x14ac:dyDescent="0.15">
      <c r="B32" s="134"/>
      <c r="C32" t="str">
        <f t="shared" ref="C32:C36" ca="1" si="24">OFFSET(B27,0,MATCH($M$20,$C$23:$E$23,0))</f>
        <v>None</v>
      </c>
      <c r="D32" s="1">
        <v>0</v>
      </c>
      <c r="F32" s="40" t="s">
        <v>2212</v>
      </c>
      <c r="G32" s="116">
        <v>0</v>
      </c>
      <c r="H32" s="41" t="str">
        <f t="shared" si="20"/>
        <v>L</v>
      </c>
      <c r="I32">
        <f t="shared" si="21"/>
        <v>0</v>
      </c>
      <c r="J32" s="135" t="s">
        <v>2139</v>
      </c>
      <c r="K32" s="64">
        <f t="shared" ca="1" si="22"/>
        <v>1</v>
      </c>
      <c r="M32" s="136" t="s">
        <v>2146</v>
      </c>
      <c r="N32" s="122">
        <f t="shared" ca="1" si="23"/>
        <v>2</v>
      </c>
      <c r="O32" s="133" t="s">
        <v>2218</v>
      </c>
      <c r="Q32" s="147"/>
      <c r="R32" s="147"/>
      <c r="S32" s="147"/>
      <c r="T32" s="147"/>
      <c r="U32" s="147"/>
      <c r="V32" s="147"/>
      <c r="W32" s="147"/>
      <c r="X32" s="147"/>
    </row>
    <row r="33" spans="1:24" ht="15.75" customHeight="1" x14ac:dyDescent="0.15">
      <c r="B33" s="134"/>
      <c r="C33" t="str">
        <f t="shared" ca="1" si="24"/>
        <v>Buckler</v>
      </c>
      <c r="D33" s="1">
        <v>1</v>
      </c>
      <c r="F33" s="40" t="s">
        <v>2212</v>
      </c>
      <c r="G33" s="116">
        <v>0</v>
      </c>
      <c r="H33" s="41" t="str">
        <f t="shared" si="20"/>
        <v>L</v>
      </c>
      <c r="I33">
        <f t="shared" si="21"/>
        <v>0</v>
      </c>
      <c r="J33" s="135" t="s">
        <v>2139</v>
      </c>
      <c r="K33" s="64">
        <f t="shared" ca="1" si="22"/>
        <v>1</v>
      </c>
      <c r="M33" s="136" t="s">
        <v>2205</v>
      </c>
      <c r="N33" s="64" t="str">
        <f t="shared" ca="1" si="23"/>
        <v>None</v>
      </c>
      <c r="O33" s="140" t="s">
        <v>2206</v>
      </c>
      <c r="Q33" s="147"/>
      <c r="R33" s="147"/>
      <c r="S33" s="147"/>
      <c r="T33" s="147"/>
      <c r="U33" s="147"/>
      <c r="V33" s="147"/>
      <c r="W33" s="147"/>
      <c r="X33" s="147"/>
    </row>
    <row r="34" spans="1:24" ht="15.75" customHeight="1" x14ac:dyDescent="0.15">
      <c r="B34" s="134"/>
      <c r="C34" t="str">
        <f t="shared" ca="1" si="24"/>
        <v>Medium</v>
      </c>
      <c r="D34" s="1">
        <v>4</v>
      </c>
      <c r="F34" s="40" t="s">
        <v>2212</v>
      </c>
      <c r="G34" s="116">
        <v>0</v>
      </c>
      <c r="H34" s="41" t="str">
        <f t="shared" si="20"/>
        <v>L</v>
      </c>
      <c r="I34">
        <f t="shared" si="21"/>
        <v>0</v>
      </c>
      <c r="J34" s="135" t="s">
        <v>2139</v>
      </c>
      <c r="K34" s="64">
        <f t="shared" ca="1" si="22"/>
        <v>1</v>
      </c>
      <c r="M34" s="141" t="s">
        <v>2208</v>
      </c>
      <c r="N34" s="126">
        <f t="shared" ca="1" si="23"/>
        <v>0</v>
      </c>
      <c r="Q34" s="147"/>
      <c r="R34" s="147"/>
      <c r="S34" s="147"/>
      <c r="T34" s="147"/>
      <c r="U34" s="147"/>
      <c r="V34" s="147"/>
      <c r="W34" s="147"/>
      <c r="X34" s="147"/>
    </row>
    <row r="35" spans="1:24" ht="15.75" customHeight="1" x14ac:dyDescent="0.15">
      <c r="B35" s="134"/>
      <c r="C35" t="str">
        <f t="shared" ca="1" si="24"/>
        <v>Heavy</v>
      </c>
      <c r="D35" s="1">
        <v>5</v>
      </c>
      <c r="F35" s="40" t="s">
        <v>2212</v>
      </c>
      <c r="G35" s="116">
        <v>0</v>
      </c>
      <c r="H35" s="41" t="str">
        <f t="shared" si="20"/>
        <v>L</v>
      </c>
      <c r="I35">
        <f t="shared" si="21"/>
        <v>0</v>
      </c>
      <c r="J35" s="135" t="s">
        <v>2139</v>
      </c>
      <c r="K35" s="64">
        <f t="shared" ca="1" si="22"/>
        <v>1</v>
      </c>
      <c r="Q35" s="147"/>
      <c r="R35" s="147"/>
      <c r="S35" s="147"/>
      <c r="T35" s="147"/>
      <c r="U35" s="147"/>
      <c r="V35" s="147"/>
      <c r="W35" s="147"/>
      <c r="X35" s="147"/>
    </row>
    <row r="36" spans="1:24" ht="15.75" customHeight="1" x14ac:dyDescent="0.15">
      <c r="A36" s="41"/>
      <c r="B36" s="142"/>
      <c r="C36" t="str">
        <f t="shared" ca="1" si="24"/>
        <v>Tower</v>
      </c>
      <c r="D36" s="1">
        <v>7</v>
      </c>
      <c r="F36" s="143" t="s">
        <v>2212</v>
      </c>
      <c r="G36" s="144">
        <v>0</v>
      </c>
      <c r="H36" s="41" t="str">
        <f t="shared" si="20"/>
        <v>L</v>
      </c>
      <c r="I36">
        <f t="shared" si="21"/>
        <v>0</v>
      </c>
      <c r="J36" s="145" t="s">
        <v>2139</v>
      </c>
      <c r="K36" s="126">
        <f t="shared" ca="1" si="22"/>
        <v>1</v>
      </c>
      <c r="Q36" s="147"/>
      <c r="R36" s="147"/>
      <c r="S36" s="147"/>
      <c r="T36" s="147"/>
      <c r="U36" s="147"/>
      <c r="V36" s="147"/>
      <c r="W36" s="147"/>
      <c r="X36" s="147"/>
    </row>
    <row r="37" spans="1:24" ht="15.75" customHeight="1" x14ac:dyDescent="0.15">
      <c r="A37" s="41"/>
      <c r="B37" s="41"/>
      <c r="C37" s="41"/>
      <c r="D37" s="41"/>
      <c r="E37" s="41"/>
      <c r="F37" s="41"/>
      <c r="G37" s="41"/>
      <c r="Q37" s="147"/>
      <c r="R37" s="147"/>
      <c r="S37" s="147"/>
      <c r="T37" s="147"/>
      <c r="U37" s="147"/>
      <c r="V37" s="147"/>
      <c r="W37" s="147"/>
      <c r="X37" s="147"/>
    </row>
    <row r="38" spans="1:24" ht="15.75" customHeight="1" x14ac:dyDescent="0.15">
      <c r="A38" s="41"/>
      <c r="B38" s="41"/>
      <c r="C38" s="41"/>
      <c r="D38" s="41"/>
      <c r="E38" s="41"/>
      <c r="F38" s="41"/>
      <c r="G38" s="41"/>
      <c r="Q38" s="147"/>
      <c r="R38" s="147"/>
      <c r="S38" s="147"/>
      <c r="T38" s="147"/>
      <c r="U38" s="147"/>
      <c r="V38" s="147"/>
      <c r="W38" s="147"/>
      <c r="X38" s="147"/>
    </row>
    <row r="39" spans="1:24" ht="15.75" customHeight="1" x14ac:dyDescent="0.15">
      <c r="A39" s="41"/>
      <c r="B39" s="41" t="s">
        <v>2219</v>
      </c>
      <c r="C39" s="41"/>
      <c r="D39" s="41"/>
      <c r="E39" s="41"/>
      <c r="F39" s="41"/>
      <c r="G39" s="41"/>
      <c r="Q39" s="147"/>
      <c r="R39" s="147"/>
      <c r="S39" s="147"/>
      <c r="T39" s="147"/>
      <c r="U39" s="147"/>
      <c r="V39" s="147"/>
      <c r="W39" s="147"/>
      <c r="X39" s="147"/>
    </row>
    <row r="40" spans="1:24" ht="15.75" customHeight="1" x14ac:dyDescent="0.15">
      <c r="A40" s="41" t="s">
        <v>2141</v>
      </c>
      <c r="B40" s="151" t="s">
        <v>2127</v>
      </c>
      <c r="C40" s="147"/>
      <c r="D40" s="147"/>
      <c r="E40" s="147"/>
      <c r="F40" s="147"/>
      <c r="G40" s="41" t="s">
        <v>2140</v>
      </c>
      <c r="J40" s="41" t="s">
        <v>2220</v>
      </c>
    </row>
    <row r="41" spans="1:24" ht="15.75" customHeight="1" x14ac:dyDescent="0.15">
      <c r="A41" s="146">
        <v>1</v>
      </c>
      <c r="B41" s="149" t="s">
        <v>2078</v>
      </c>
      <c r="C41" s="147"/>
      <c r="D41" s="147"/>
      <c r="E41" s="147"/>
      <c r="F41" s="147"/>
      <c r="G41" s="41">
        <f ca="1">IFERROR(OFFSET(Abilities!$N$1,MATCH(B41,Abilities!C:C,0)-1,A41),0)</f>
        <v>40</v>
      </c>
      <c r="J41" s="41" t="str">
        <f ca="1">OFFSET(Abilities!$N$1,MATCH(B41,Abilities!C:C,0)-1,-7)</f>
        <v>??,(27)</v>
      </c>
      <c r="K41" s="1" t="str">
        <f ca="1">OFFSET(Abilities!$N$1,MATCH(B41,Abilities!C:C,0)-1,-12)</f>
        <v>Maneuver</v>
      </c>
      <c r="L41" s="148" t="str">
        <f ca="1">OFFSET(Abilities!$N$1,MATCH(B41,Abilities!C:C,0)-1,-9)</f>
        <v>(5) When you are the only target of an enemy's action. Make an Intimidation attempt against the enemy. If this puts the enemy to 3 or more fear stacks negate the enemy's action.</v>
      </c>
      <c r="M41" s="147"/>
      <c r="N41" s="147"/>
      <c r="O41" s="147"/>
      <c r="P41" s="147"/>
      <c r="Q41" s="147"/>
      <c r="R41" s="147"/>
      <c r="S41" s="147"/>
      <c r="T41" s="147"/>
      <c r="U41" s="147"/>
      <c r="V41" s="147"/>
      <c r="W41" s="147"/>
      <c r="X41" s="147"/>
    </row>
    <row r="42" spans="1:24" ht="15.75" customHeight="1" x14ac:dyDescent="0.15">
      <c r="A42" s="146">
        <v>1</v>
      </c>
      <c r="B42" s="149" t="s">
        <v>2</v>
      </c>
      <c r="C42" s="147"/>
      <c r="D42" s="147"/>
      <c r="E42" s="147"/>
      <c r="F42" s="147"/>
      <c r="G42" s="41" t="str">
        <f ca="1">IFERROR(OFFSET(Abilities!$N$1,MATCH(B42,Abilities!C:C,0)-1,A42),0)</f>
        <v>R1</v>
      </c>
      <c r="J42" s="41" t="str">
        <f ca="1">OFFSET(Abilities!$N$1,MATCH(B42,Abilities!C:C,0)-1,-7)</f>
        <v>Affinity req</v>
      </c>
      <c r="K42" s="1" t="str">
        <f ca="1">OFFSET(Abilities!$N$1,MATCH(B42,Abilities!C:C,0)-1,-12)</f>
        <v>Category</v>
      </c>
      <c r="L42" s="148" t="str">
        <f ca="1">OFFSET(Abilities!$N$1,MATCH(B42,Abilities!C:C,0)-1,-9)</f>
        <v>Rules Text</v>
      </c>
      <c r="M42" s="147"/>
      <c r="N42" s="147"/>
      <c r="O42" s="147"/>
      <c r="P42" s="147"/>
      <c r="Q42" s="147"/>
      <c r="R42" s="147"/>
      <c r="S42" s="147"/>
      <c r="T42" s="147"/>
      <c r="U42" s="147"/>
      <c r="V42" s="147"/>
      <c r="W42" s="147"/>
      <c r="X42" s="147"/>
    </row>
    <row r="43" spans="1:24" ht="15.75" customHeight="1" x14ac:dyDescent="0.15">
      <c r="A43" s="146">
        <v>1</v>
      </c>
      <c r="B43" s="149" t="s">
        <v>2</v>
      </c>
      <c r="C43" s="147"/>
      <c r="D43" s="147"/>
      <c r="E43" s="147"/>
      <c r="F43" s="147"/>
      <c r="G43" s="41" t="str">
        <f ca="1">IFERROR(OFFSET(Abilities!$N$1,MATCH(B43,Abilities!C:C,0)-1,A43),0)</f>
        <v>R1</v>
      </c>
      <c r="J43" s="41" t="str">
        <f ca="1">OFFSET(Abilities!$N$1,MATCH(B43,Abilities!C:C,0)-1,-7)</f>
        <v>Affinity req</v>
      </c>
      <c r="K43" s="1" t="str">
        <f ca="1">OFFSET(Abilities!$N$1,MATCH(B43,Abilities!C:C,0)-1,-12)</f>
        <v>Category</v>
      </c>
      <c r="L43" s="148" t="str">
        <f ca="1">OFFSET(Abilities!$N$1,MATCH(B43,Abilities!C:C,0)-1,-9)</f>
        <v>Rules Text</v>
      </c>
      <c r="M43" s="147"/>
      <c r="N43" s="147"/>
      <c r="O43" s="147"/>
      <c r="P43" s="147"/>
      <c r="Q43" s="147"/>
      <c r="R43" s="147"/>
      <c r="S43" s="147"/>
      <c r="T43" s="147"/>
      <c r="U43" s="147"/>
      <c r="V43" s="147"/>
      <c r="W43" s="147"/>
      <c r="X43" s="147"/>
    </row>
    <row r="44" spans="1:24" ht="15.75" customHeight="1" x14ac:dyDescent="0.15">
      <c r="A44" s="146">
        <v>1</v>
      </c>
      <c r="B44" s="149" t="s">
        <v>2</v>
      </c>
      <c r="C44" s="147"/>
      <c r="D44" s="147"/>
      <c r="E44" s="147"/>
      <c r="F44" s="147"/>
      <c r="G44" s="41" t="str">
        <f ca="1">IFERROR(OFFSET(Abilities!$N$1,MATCH(B44,Abilities!C:C,0)-1,A44),0)</f>
        <v>R1</v>
      </c>
      <c r="J44" s="41" t="str">
        <f ca="1">OFFSET(Abilities!$N$1,MATCH(B44,Abilities!C:C,0)-1,-7)</f>
        <v>Affinity req</v>
      </c>
      <c r="K44" s="1" t="str">
        <f ca="1">OFFSET(Abilities!$N$1,MATCH(B44,Abilities!C:C,0)-1,-12)</f>
        <v>Category</v>
      </c>
      <c r="L44" s="148" t="str">
        <f ca="1">OFFSET(Abilities!$N$1,MATCH(B44,Abilities!C:C,0)-1,-9)</f>
        <v>Rules Text</v>
      </c>
      <c r="M44" s="147"/>
      <c r="N44" s="147"/>
      <c r="O44" s="147"/>
      <c r="P44" s="147"/>
      <c r="Q44" s="147"/>
      <c r="R44" s="147"/>
      <c r="S44" s="147"/>
      <c r="T44" s="147"/>
      <c r="U44" s="147"/>
      <c r="V44" s="147"/>
      <c r="W44" s="147"/>
      <c r="X44" s="147"/>
    </row>
    <row r="45" spans="1:24" ht="15.75" customHeight="1" x14ac:dyDescent="0.15">
      <c r="A45" s="146">
        <v>1</v>
      </c>
      <c r="B45" s="149" t="s">
        <v>2</v>
      </c>
      <c r="C45" s="147"/>
      <c r="D45" s="147"/>
      <c r="E45" s="147"/>
      <c r="F45" s="147"/>
      <c r="G45" s="41" t="str">
        <f ca="1">IFERROR(OFFSET(Abilities!$N$1,MATCH(B45,Abilities!C:C,0)-1,A45),0)</f>
        <v>R1</v>
      </c>
      <c r="J45" s="41" t="str">
        <f ca="1">OFFSET(Abilities!$N$1,MATCH(B45,Abilities!C:C,0)-1,-7)</f>
        <v>Affinity req</v>
      </c>
      <c r="K45" s="1" t="str">
        <f ca="1">OFFSET(Abilities!$N$1,MATCH(B45,Abilities!C:C,0)-1,-12)</f>
        <v>Category</v>
      </c>
      <c r="L45" s="148" t="str">
        <f ca="1">OFFSET(Abilities!$N$1,MATCH(B45,Abilities!C:C,0)-1,-9)</f>
        <v>Rules Text</v>
      </c>
      <c r="M45" s="147"/>
      <c r="N45" s="147"/>
      <c r="O45" s="147"/>
      <c r="P45" s="147"/>
      <c r="Q45" s="147"/>
      <c r="R45" s="147"/>
      <c r="S45" s="147"/>
      <c r="T45" s="147"/>
      <c r="U45" s="147"/>
      <c r="V45" s="147"/>
      <c r="W45" s="147"/>
      <c r="X45" s="147"/>
    </row>
    <row r="46" spans="1:24" ht="15.75" customHeight="1" x14ac:dyDescent="0.15">
      <c r="A46" s="146">
        <v>1</v>
      </c>
      <c r="B46" s="149" t="s">
        <v>2</v>
      </c>
      <c r="C46" s="147"/>
      <c r="D46" s="147"/>
      <c r="E46" s="147"/>
      <c r="F46" s="147"/>
      <c r="G46" s="41" t="str">
        <f ca="1">IFERROR(OFFSET(Abilities!$N$1,MATCH(B46,Abilities!C:C,0)-1,A46),0)</f>
        <v>R1</v>
      </c>
      <c r="J46" s="41" t="str">
        <f ca="1">OFFSET(Abilities!$N$1,MATCH(B46,Abilities!C:C,0)-1,-7)</f>
        <v>Affinity req</v>
      </c>
      <c r="K46" s="1" t="str">
        <f ca="1">OFFSET(Abilities!$N$1,MATCH(B46,Abilities!C:C,0)-1,-12)</f>
        <v>Category</v>
      </c>
      <c r="L46" s="148" t="str">
        <f ca="1">OFFSET(Abilities!$N$1,MATCH(B46,Abilities!C:C,0)-1,-9)</f>
        <v>Rules Text</v>
      </c>
      <c r="M46" s="147"/>
      <c r="N46" s="147"/>
      <c r="O46" s="147"/>
      <c r="P46" s="147"/>
      <c r="Q46" s="147"/>
      <c r="R46" s="147"/>
      <c r="S46" s="147"/>
      <c r="T46" s="147"/>
      <c r="U46" s="147"/>
      <c r="V46" s="147"/>
      <c r="W46" s="147"/>
      <c r="X46" s="147"/>
    </row>
    <row r="47" spans="1:24" ht="15.75" customHeight="1" x14ac:dyDescent="0.15">
      <c r="A47" s="146">
        <v>1</v>
      </c>
      <c r="B47" s="149" t="s">
        <v>2</v>
      </c>
      <c r="C47" s="147"/>
      <c r="D47" s="147"/>
      <c r="E47" s="147"/>
      <c r="F47" s="147"/>
      <c r="G47" s="41" t="str">
        <f ca="1">IFERROR(OFFSET(Abilities!$N$1,MATCH(B47,Abilities!C:C,0)-1,A47),0)</f>
        <v>R1</v>
      </c>
      <c r="J47" s="41" t="str">
        <f ca="1">OFFSET(Abilities!$N$1,MATCH(B47,Abilities!C:C,0)-1,-7)</f>
        <v>Affinity req</v>
      </c>
      <c r="K47" s="1" t="str">
        <f ca="1">OFFSET(Abilities!$N$1,MATCH(B47,Abilities!C:C,0)-1,-12)</f>
        <v>Category</v>
      </c>
      <c r="L47" s="148" t="str">
        <f ca="1">OFFSET(Abilities!$N$1,MATCH(B47,Abilities!C:C,0)-1,-9)</f>
        <v>Rules Text</v>
      </c>
      <c r="M47" s="147"/>
      <c r="N47" s="147"/>
      <c r="O47" s="147"/>
      <c r="P47" s="147"/>
      <c r="Q47" s="147"/>
      <c r="R47" s="147"/>
      <c r="S47" s="147"/>
      <c r="T47" s="147"/>
      <c r="U47" s="147"/>
      <c r="V47" s="147"/>
      <c r="W47" s="147"/>
      <c r="X47" s="147"/>
    </row>
    <row r="48" spans="1:24" ht="15.75" customHeight="1" x14ac:dyDescent="0.15">
      <c r="A48" s="146">
        <v>1</v>
      </c>
      <c r="B48" s="149" t="s">
        <v>2</v>
      </c>
      <c r="C48" s="147"/>
      <c r="D48" s="147"/>
      <c r="E48" s="147"/>
      <c r="F48" s="147"/>
      <c r="G48" s="41" t="str">
        <f ca="1">IFERROR(OFFSET(Abilities!$N$1,MATCH(B48,Abilities!C:C,0)-1,A48),0)</f>
        <v>R1</v>
      </c>
      <c r="J48" s="41" t="str">
        <f ca="1">OFFSET(Abilities!$N$1,MATCH(B48,Abilities!C:C,0)-1,-7)</f>
        <v>Affinity req</v>
      </c>
      <c r="K48" s="1" t="str">
        <f ca="1">OFFSET(Abilities!$N$1,MATCH(B48,Abilities!C:C,0)-1,-12)</f>
        <v>Category</v>
      </c>
      <c r="L48" s="148" t="str">
        <f ca="1">OFFSET(Abilities!$N$1,MATCH(B48,Abilities!C:C,0)-1,-9)</f>
        <v>Rules Text</v>
      </c>
      <c r="M48" s="147"/>
      <c r="N48" s="147"/>
      <c r="O48" s="147"/>
      <c r="P48" s="147"/>
      <c r="Q48" s="147"/>
      <c r="R48" s="147"/>
      <c r="S48" s="147"/>
      <c r="T48" s="147"/>
      <c r="U48" s="147"/>
      <c r="V48" s="147"/>
      <c r="W48" s="147"/>
      <c r="X48" s="147"/>
    </row>
    <row r="49" spans="1:24" ht="15.75" customHeight="1" x14ac:dyDescent="0.15">
      <c r="A49" s="146">
        <v>1</v>
      </c>
      <c r="B49" s="149" t="s">
        <v>2</v>
      </c>
      <c r="C49" s="147"/>
      <c r="D49" s="147"/>
      <c r="E49" s="147"/>
      <c r="F49" s="147"/>
      <c r="G49" s="41" t="str">
        <f ca="1">IFERROR(OFFSET(Abilities!$N$1,MATCH(B49,Abilities!C:C,0)-1,A49),0)</f>
        <v>R1</v>
      </c>
      <c r="J49" s="41" t="str">
        <f ca="1">OFFSET(Abilities!$N$1,MATCH(B49,Abilities!C:C,0)-1,-7)</f>
        <v>Affinity req</v>
      </c>
      <c r="K49" s="1" t="str">
        <f ca="1">OFFSET(Abilities!$N$1,MATCH(B49,Abilities!C:C,0)-1,-12)</f>
        <v>Category</v>
      </c>
      <c r="L49" s="148" t="str">
        <f ca="1">OFFSET(Abilities!$N$1,MATCH(B49,Abilities!C:C,0)-1,-9)</f>
        <v>Rules Text</v>
      </c>
      <c r="M49" s="147"/>
      <c r="N49" s="147"/>
      <c r="O49" s="147"/>
      <c r="P49" s="147"/>
      <c r="Q49" s="147"/>
      <c r="R49" s="147"/>
      <c r="S49" s="147"/>
      <c r="T49" s="147"/>
      <c r="U49" s="147"/>
      <c r="V49" s="147"/>
      <c r="W49" s="147"/>
      <c r="X49" s="147"/>
    </row>
    <row r="50" spans="1:24" ht="15.75" customHeight="1" x14ac:dyDescent="0.15">
      <c r="A50" s="146">
        <v>1</v>
      </c>
      <c r="B50" s="149" t="s">
        <v>2</v>
      </c>
      <c r="C50" s="147"/>
      <c r="D50" s="147"/>
      <c r="E50" s="147"/>
      <c r="F50" s="147"/>
      <c r="G50" s="41" t="str">
        <f ca="1">IFERROR(OFFSET(Abilities!$N$1,MATCH(B50,Abilities!C:C,0)-1,A50),0)</f>
        <v>R1</v>
      </c>
      <c r="J50" s="41" t="str">
        <f ca="1">OFFSET(Abilities!$N$1,MATCH(B50,Abilities!C:C,0)-1,-7)</f>
        <v>Affinity req</v>
      </c>
      <c r="K50" s="1" t="str">
        <f ca="1">OFFSET(Abilities!$N$1,MATCH(B50,Abilities!C:C,0)-1,-12)</f>
        <v>Category</v>
      </c>
      <c r="L50" s="148" t="str">
        <f ca="1">OFFSET(Abilities!$N$1,MATCH(B50,Abilities!C:C,0)-1,-9)</f>
        <v>Rules Text</v>
      </c>
      <c r="M50" s="147"/>
      <c r="N50" s="147"/>
      <c r="O50" s="147"/>
      <c r="P50" s="147"/>
      <c r="Q50" s="147"/>
      <c r="R50" s="147"/>
      <c r="S50" s="147"/>
      <c r="T50" s="147"/>
      <c r="U50" s="147"/>
      <c r="V50" s="147"/>
      <c r="W50" s="147"/>
      <c r="X50" s="147"/>
    </row>
    <row r="51" spans="1:24" ht="15.75" customHeight="1" x14ac:dyDescent="0.15">
      <c r="A51" s="146">
        <v>1</v>
      </c>
      <c r="B51" s="149" t="s">
        <v>2</v>
      </c>
      <c r="C51" s="147"/>
      <c r="D51" s="147"/>
      <c r="E51" s="147"/>
      <c r="F51" s="147"/>
      <c r="G51" s="41" t="str">
        <f ca="1">IFERROR(OFFSET(Abilities!$N$1,MATCH(B51,Abilities!C:C,0)-1,A51),0)</f>
        <v>R1</v>
      </c>
      <c r="J51" s="41" t="str">
        <f ca="1">OFFSET(Abilities!$N$1,MATCH(B51,Abilities!C:C,0)-1,-7)</f>
        <v>Affinity req</v>
      </c>
      <c r="K51" s="1" t="str">
        <f ca="1">OFFSET(Abilities!$N$1,MATCH(B51,Abilities!C:C,0)-1,-12)</f>
        <v>Category</v>
      </c>
      <c r="L51" s="148" t="str">
        <f ca="1">OFFSET(Abilities!$N$1,MATCH(B51,Abilities!C:C,0)-1,-9)</f>
        <v>Rules Text</v>
      </c>
      <c r="M51" s="147"/>
      <c r="N51" s="147"/>
      <c r="O51" s="147"/>
      <c r="P51" s="147"/>
      <c r="Q51" s="147"/>
      <c r="R51" s="147"/>
      <c r="S51" s="147"/>
      <c r="T51" s="147"/>
      <c r="U51" s="147"/>
      <c r="V51" s="147"/>
      <c r="W51" s="147"/>
      <c r="X51" s="147"/>
    </row>
    <row r="52" spans="1:24" ht="15.75" customHeight="1" x14ac:dyDescent="0.15">
      <c r="A52" s="146">
        <v>1</v>
      </c>
      <c r="B52" s="149" t="s">
        <v>2</v>
      </c>
      <c r="C52" s="147"/>
      <c r="D52" s="147"/>
      <c r="E52" s="147"/>
      <c r="F52" s="147"/>
      <c r="G52" s="41" t="str">
        <f ca="1">IFERROR(OFFSET(Abilities!$N$1,MATCH(B52,Abilities!C:C,0)-1,A52),0)</f>
        <v>R1</v>
      </c>
      <c r="J52" s="41" t="str">
        <f ca="1">OFFSET(Abilities!$N$1,MATCH(B52,Abilities!C:C,0)-1,-7)</f>
        <v>Affinity req</v>
      </c>
      <c r="K52" s="1" t="str">
        <f ca="1">OFFSET(Abilities!$N$1,MATCH(B52,Abilities!C:C,0)-1,-12)</f>
        <v>Category</v>
      </c>
      <c r="L52" s="148" t="str">
        <f ca="1">OFFSET(Abilities!$N$1,MATCH(B52,Abilities!C:C,0)-1,-9)</f>
        <v>Rules Text</v>
      </c>
      <c r="M52" s="147"/>
      <c r="N52" s="147"/>
      <c r="O52" s="147"/>
      <c r="P52" s="147"/>
      <c r="Q52" s="147"/>
      <c r="R52" s="147"/>
      <c r="S52" s="147"/>
      <c r="T52" s="147"/>
      <c r="U52" s="147"/>
      <c r="V52" s="147"/>
      <c r="W52" s="147"/>
      <c r="X52" s="147"/>
    </row>
    <row r="53" spans="1:24" ht="15.75" customHeight="1" x14ac:dyDescent="0.15">
      <c r="A53" s="146">
        <v>1</v>
      </c>
      <c r="B53" s="149" t="s">
        <v>2</v>
      </c>
      <c r="C53" s="147"/>
      <c r="D53" s="147"/>
      <c r="E53" s="147"/>
      <c r="F53" s="147"/>
      <c r="G53" s="41" t="str">
        <f ca="1">IFERROR(OFFSET(Abilities!$N$1,MATCH(B53,Abilities!C:C,0)-1,A53),0)</f>
        <v>R1</v>
      </c>
      <c r="J53" s="41" t="str">
        <f ca="1">OFFSET(Abilities!$N$1,MATCH(B53,Abilities!C:C,0)-1,-7)</f>
        <v>Affinity req</v>
      </c>
      <c r="K53" s="1" t="str">
        <f ca="1">OFFSET(Abilities!$N$1,MATCH(B53,Abilities!C:C,0)-1,-12)</f>
        <v>Category</v>
      </c>
      <c r="L53" s="148" t="str">
        <f ca="1">OFFSET(Abilities!$N$1,MATCH(B53,Abilities!C:C,0)-1,-9)</f>
        <v>Rules Text</v>
      </c>
      <c r="M53" s="147"/>
      <c r="N53" s="147"/>
      <c r="O53" s="147"/>
      <c r="P53" s="147"/>
      <c r="Q53" s="147"/>
      <c r="R53" s="147"/>
      <c r="S53" s="147"/>
      <c r="T53" s="147"/>
      <c r="U53" s="147"/>
      <c r="V53" s="147"/>
      <c r="W53" s="147"/>
      <c r="X53" s="147"/>
    </row>
    <row r="54" spans="1:24" ht="15.75" customHeight="1" x14ac:dyDescent="0.15">
      <c r="A54" s="146">
        <v>1</v>
      </c>
      <c r="B54" s="149" t="s">
        <v>2</v>
      </c>
      <c r="C54" s="147"/>
      <c r="D54" s="147"/>
      <c r="E54" s="147"/>
      <c r="F54" s="147"/>
      <c r="G54" s="41" t="str">
        <f ca="1">IFERROR(OFFSET(Abilities!$N$1,MATCH(B54,Abilities!C:C,0)-1,A54),0)</f>
        <v>R1</v>
      </c>
      <c r="J54" s="41" t="str">
        <f ca="1">OFFSET(Abilities!$N$1,MATCH(B54,Abilities!C:C,0)-1,-7)</f>
        <v>Affinity req</v>
      </c>
      <c r="K54" s="1" t="str">
        <f ca="1">OFFSET(Abilities!$N$1,MATCH(B54,Abilities!C:C,0)-1,-12)</f>
        <v>Category</v>
      </c>
      <c r="L54" s="148" t="str">
        <f ca="1">OFFSET(Abilities!$N$1,MATCH(B54,Abilities!C:C,0)-1,-9)</f>
        <v>Rules Text</v>
      </c>
      <c r="M54" s="147"/>
      <c r="N54" s="147"/>
      <c r="O54" s="147"/>
      <c r="P54" s="147"/>
      <c r="Q54" s="147"/>
      <c r="R54" s="147"/>
      <c r="S54" s="147"/>
      <c r="T54" s="147"/>
      <c r="U54" s="147"/>
      <c r="V54" s="147"/>
      <c r="W54" s="147"/>
      <c r="X54" s="147"/>
    </row>
    <row r="55" spans="1:24" ht="15.75" customHeight="1" x14ac:dyDescent="0.15">
      <c r="A55" s="146">
        <v>1</v>
      </c>
      <c r="B55" s="149" t="s">
        <v>2</v>
      </c>
      <c r="C55" s="147"/>
      <c r="D55" s="147"/>
      <c r="E55" s="147"/>
      <c r="F55" s="147"/>
      <c r="G55" s="41" t="str">
        <f ca="1">IFERROR(OFFSET(Abilities!$N$1,MATCH(B55,Abilities!C:C,0)-1,A55),0)</f>
        <v>R1</v>
      </c>
      <c r="J55" s="41" t="str">
        <f ca="1">OFFSET(Abilities!$N$1,MATCH(B55,Abilities!C:C,0)-1,-7)</f>
        <v>Affinity req</v>
      </c>
      <c r="K55" s="1" t="str">
        <f ca="1">OFFSET(Abilities!$N$1,MATCH(B55,Abilities!C:C,0)-1,-12)</f>
        <v>Category</v>
      </c>
      <c r="L55" s="148" t="str">
        <f ca="1">OFFSET(Abilities!$N$1,MATCH(B55,Abilities!C:C,0)-1,-9)</f>
        <v>Rules Text</v>
      </c>
      <c r="M55" s="147"/>
      <c r="N55" s="147"/>
      <c r="O55" s="147"/>
      <c r="P55" s="147"/>
      <c r="Q55" s="147"/>
      <c r="R55" s="147"/>
      <c r="S55" s="147"/>
      <c r="T55" s="147"/>
      <c r="U55" s="147"/>
      <c r="V55" s="147"/>
      <c r="W55" s="147"/>
      <c r="X55" s="147"/>
    </row>
    <row r="56" spans="1:24" ht="13" x14ac:dyDescent="0.15">
      <c r="A56" s="146">
        <v>1</v>
      </c>
      <c r="B56" s="149" t="s">
        <v>2</v>
      </c>
      <c r="C56" s="147"/>
      <c r="D56" s="147"/>
      <c r="E56" s="147"/>
      <c r="F56" s="147"/>
      <c r="G56" s="41" t="str">
        <f ca="1">IFERROR(OFFSET(Abilities!$N$1,MATCH(B56,Abilities!C:C,0)-1,A56),0)</f>
        <v>R1</v>
      </c>
      <c r="J56" s="41" t="str">
        <f ca="1">OFFSET(Abilities!$N$1,MATCH(B56,Abilities!C:C,0)-1,-7)</f>
        <v>Affinity req</v>
      </c>
      <c r="K56" s="1" t="str">
        <f ca="1">OFFSET(Abilities!$N$1,MATCH(B56,Abilities!C:C,0)-1,-12)</f>
        <v>Category</v>
      </c>
      <c r="L56" s="148" t="str">
        <f ca="1">OFFSET(Abilities!$N$1,MATCH(B56,Abilities!C:C,0)-1,-9)</f>
        <v>Rules Text</v>
      </c>
      <c r="M56" s="147"/>
      <c r="N56" s="147"/>
      <c r="O56" s="147"/>
      <c r="P56" s="147"/>
      <c r="Q56" s="147"/>
      <c r="R56" s="147"/>
      <c r="S56" s="147"/>
      <c r="T56" s="147"/>
      <c r="U56" s="147"/>
      <c r="V56" s="147"/>
      <c r="W56" s="147"/>
      <c r="X56" s="147"/>
    </row>
    <row r="57" spans="1:24" ht="13" x14ac:dyDescent="0.15">
      <c r="A57" s="146">
        <v>1</v>
      </c>
      <c r="B57" s="149" t="s">
        <v>2</v>
      </c>
      <c r="C57" s="147"/>
      <c r="D57" s="147"/>
      <c r="E57" s="147"/>
      <c r="F57" s="147"/>
      <c r="G57" s="41" t="str">
        <f ca="1">IFERROR(OFFSET(Abilities!$N$1,MATCH(B57,Abilities!C:C,0)-1,A57),0)</f>
        <v>R1</v>
      </c>
      <c r="J57" s="41" t="str">
        <f ca="1">OFFSET(Abilities!$N$1,MATCH(B57,Abilities!C:C,0)-1,-7)</f>
        <v>Affinity req</v>
      </c>
      <c r="K57" s="1" t="str">
        <f ca="1">OFFSET(Abilities!$N$1,MATCH(B57,Abilities!C:C,0)-1,-12)</f>
        <v>Category</v>
      </c>
      <c r="L57" s="148" t="str">
        <f ca="1">OFFSET(Abilities!$N$1,MATCH(B57,Abilities!C:C,0)-1,-9)</f>
        <v>Rules Text</v>
      </c>
      <c r="M57" s="147"/>
      <c r="N57" s="147"/>
      <c r="O57" s="147"/>
      <c r="P57" s="147"/>
      <c r="Q57" s="147"/>
      <c r="R57" s="147"/>
      <c r="S57" s="147"/>
      <c r="T57" s="147"/>
      <c r="U57" s="147"/>
      <c r="V57" s="147"/>
      <c r="W57" s="147"/>
      <c r="X57" s="147"/>
    </row>
    <row r="58" spans="1:24" ht="13" x14ac:dyDescent="0.15">
      <c r="A58" s="146">
        <v>1</v>
      </c>
      <c r="B58" s="149" t="s">
        <v>2</v>
      </c>
      <c r="C58" s="147"/>
      <c r="D58" s="147"/>
      <c r="E58" s="147"/>
      <c r="F58" s="147"/>
      <c r="G58" s="41" t="str">
        <f ca="1">IFERROR(OFFSET(Abilities!$N$1,MATCH(B58,Abilities!C:C,0)-1,A58),0)</f>
        <v>R1</v>
      </c>
      <c r="J58" s="41" t="str">
        <f ca="1">OFFSET(Abilities!$N$1,MATCH(B58,Abilities!C:C,0)-1,-7)</f>
        <v>Affinity req</v>
      </c>
      <c r="K58" s="1" t="str">
        <f ca="1">OFFSET(Abilities!$N$1,MATCH(B58,Abilities!C:C,0)-1,-12)</f>
        <v>Category</v>
      </c>
      <c r="L58" s="148" t="str">
        <f ca="1">OFFSET(Abilities!$N$1,MATCH(B58,Abilities!C:C,0)-1,-9)</f>
        <v>Rules Text</v>
      </c>
      <c r="M58" s="147"/>
      <c r="N58" s="147"/>
      <c r="O58" s="147"/>
      <c r="P58" s="147"/>
      <c r="Q58" s="147"/>
      <c r="R58" s="147"/>
      <c r="S58" s="147"/>
      <c r="T58" s="147"/>
      <c r="U58" s="147"/>
      <c r="V58" s="147"/>
      <c r="W58" s="147"/>
      <c r="X58" s="147"/>
    </row>
    <row r="59" spans="1:24" ht="13" x14ac:dyDescent="0.15">
      <c r="A59" s="146">
        <v>1</v>
      </c>
      <c r="B59" s="149" t="s">
        <v>2</v>
      </c>
      <c r="C59" s="147"/>
      <c r="D59" s="147"/>
      <c r="E59" s="147"/>
      <c r="F59" s="147"/>
      <c r="G59" s="41" t="str">
        <f ca="1">IFERROR(OFFSET(Abilities!$N$1,MATCH(B59,Abilities!C:C,0)-1,A59),0)</f>
        <v>R1</v>
      </c>
      <c r="J59" s="41" t="str">
        <f ca="1">OFFSET(Abilities!$N$1,MATCH(B59,Abilities!C:C,0)-1,-7)</f>
        <v>Affinity req</v>
      </c>
      <c r="K59" s="1" t="str">
        <f ca="1">OFFSET(Abilities!$N$1,MATCH(B59,Abilities!C:C,0)-1,-12)</f>
        <v>Category</v>
      </c>
      <c r="L59" s="148" t="str">
        <f ca="1">OFFSET(Abilities!$N$1,MATCH(B59,Abilities!C:C,0)-1,-9)</f>
        <v>Rules Text</v>
      </c>
      <c r="M59" s="147"/>
      <c r="N59" s="147"/>
      <c r="O59" s="147"/>
      <c r="P59" s="147"/>
      <c r="Q59" s="147"/>
      <c r="R59" s="147"/>
      <c r="S59" s="147"/>
      <c r="T59" s="147"/>
      <c r="U59" s="147"/>
      <c r="V59" s="147"/>
      <c r="W59" s="147"/>
      <c r="X59" s="147"/>
    </row>
    <row r="60" spans="1:24" ht="13" x14ac:dyDescent="0.15">
      <c r="A60" s="146">
        <v>1</v>
      </c>
      <c r="B60" s="149" t="s">
        <v>2</v>
      </c>
      <c r="C60" s="147"/>
      <c r="D60" s="147"/>
      <c r="E60" s="147"/>
      <c r="F60" s="147"/>
      <c r="G60" s="41" t="str">
        <f ca="1">IFERROR(OFFSET(Abilities!$N$1,MATCH(B60,Abilities!C:C,0)-1,A60),0)</f>
        <v>R1</v>
      </c>
      <c r="J60" s="41" t="str">
        <f ca="1">OFFSET(Abilities!$N$1,MATCH(B60,Abilities!C:C,0)-1,-7)</f>
        <v>Affinity req</v>
      </c>
      <c r="K60" s="1" t="str">
        <f ca="1">OFFSET(Abilities!$N$1,MATCH(B60,Abilities!C:C,0)-1,-12)</f>
        <v>Category</v>
      </c>
      <c r="L60" s="148" t="str">
        <f ca="1">OFFSET(Abilities!$N$1,MATCH(B60,Abilities!C:C,0)-1,-9)</f>
        <v>Rules Text</v>
      </c>
      <c r="M60" s="147"/>
      <c r="N60" s="147"/>
      <c r="O60" s="147"/>
      <c r="P60" s="147"/>
      <c r="Q60" s="147"/>
      <c r="R60" s="147"/>
      <c r="S60" s="147"/>
      <c r="T60" s="147"/>
      <c r="U60" s="147"/>
      <c r="V60" s="147"/>
      <c r="W60" s="147"/>
      <c r="X60" s="147"/>
    </row>
    <row r="61" spans="1:24" ht="13" x14ac:dyDescent="0.15">
      <c r="A61" s="146">
        <v>1</v>
      </c>
      <c r="B61" s="149" t="s">
        <v>2</v>
      </c>
      <c r="C61" s="147"/>
      <c r="D61" s="147"/>
      <c r="E61" s="147"/>
      <c r="F61" s="147"/>
      <c r="G61" s="41" t="str">
        <f ca="1">IFERROR(OFFSET(Abilities!$N$1,MATCH(B61,Abilities!C:C,0)-1,A61),0)</f>
        <v>R1</v>
      </c>
      <c r="J61" s="41" t="str">
        <f ca="1">OFFSET(Abilities!$N$1,MATCH(B61,Abilities!C:C,0)-1,-7)</f>
        <v>Affinity req</v>
      </c>
      <c r="K61" s="1" t="str">
        <f ca="1">OFFSET(Abilities!$N$1,MATCH(B61,Abilities!C:C,0)-1,-12)</f>
        <v>Category</v>
      </c>
      <c r="L61" s="148" t="str">
        <f ca="1">OFFSET(Abilities!$N$1,MATCH(B61,Abilities!C:C,0)-1,-9)</f>
        <v>Rules Text</v>
      </c>
      <c r="M61" s="147"/>
      <c r="N61" s="147"/>
      <c r="O61" s="147"/>
      <c r="P61" s="147"/>
      <c r="Q61" s="147"/>
      <c r="R61" s="147"/>
      <c r="S61" s="147"/>
      <c r="T61" s="147"/>
      <c r="U61" s="147"/>
      <c r="V61" s="147"/>
      <c r="W61" s="147"/>
      <c r="X61" s="147"/>
    </row>
    <row r="62" spans="1:24" ht="13" x14ac:dyDescent="0.15">
      <c r="A62" s="146">
        <v>1</v>
      </c>
      <c r="B62" s="149" t="s">
        <v>2</v>
      </c>
      <c r="C62" s="147"/>
      <c r="D62" s="147"/>
      <c r="E62" s="147"/>
      <c r="F62" s="147"/>
      <c r="G62" s="41" t="str">
        <f ca="1">IFERROR(OFFSET(Abilities!$N$1,MATCH(B62,Abilities!C:C,0)-1,A62),0)</f>
        <v>R1</v>
      </c>
      <c r="J62" s="41" t="str">
        <f ca="1">OFFSET(Abilities!$N$1,MATCH(B62,Abilities!C:C,0)-1,-7)</f>
        <v>Affinity req</v>
      </c>
      <c r="K62" s="1" t="str">
        <f ca="1">OFFSET(Abilities!$N$1,MATCH(B62,Abilities!C:C,0)-1,-12)</f>
        <v>Category</v>
      </c>
      <c r="L62" s="148" t="str">
        <f ca="1">OFFSET(Abilities!$N$1,MATCH(B62,Abilities!C:C,0)-1,-9)</f>
        <v>Rules Text</v>
      </c>
      <c r="M62" s="147"/>
      <c r="N62" s="147"/>
      <c r="O62" s="147"/>
      <c r="P62" s="147"/>
      <c r="Q62" s="147"/>
      <c r="R62" s="147"/>
      <c r="S62" s="147"/>
      <c r="T62" s="147"/>
      <c r="U62" s="147"/>
      <c r="V62" s="147"/>
      <c r="W62" s="147"/>
      <c r="X62" s="147"/>
    </row>
    <row r="63" spans="1:24" ht="13" x14ac:dyDescent="0.15">
      <c r="A63" s="146">
        <v>1</v>
      </c>
      <c r="B63" s="149" t="s">
        <v>2</v>
      </c>
      <c r="C63" s="147"/>
      <c r="D63" s="147"/>
      <c r="E63" s="147"/>
      <c r="F63" s="147"/>
      <c r="G63" s="41" t="str">
        <f ca="1">IFERROR(OFFSET(Abilities!$N$1,MATCH(B63,Abilities!C:C,0)-1,A63),0)</f>
        <v>R1</v>
      </c>
      <c r="J63" s="41" t="str">
        <f ca="1">OFFSET(Abilities!$N$1,MATCH(B63,Abilities!C:C,0)-1,-7)</f>
        <v>Affinity req</v>
      </c>
      <c r="K63" s="1" t="str">
        <f ca="1">OFFSET(Abilities!$N$1,MATCH(B63,Abilities!C:C,0)-1,-12)</f>
        <v>Category</v>
      </c>
      <c r="L63" s="148" t="str">
        <f ca="1">OFFSET(Abilities!$N$1,MATCH(B63,Abilities!C:C,0)-1,-9)</f>
        <v>Rules Text</v>
      </c>
      <c r="M63" s="147"/>
      <c r="N63" s="147"/>
      <c r="O63" s="147"/>
      <c r="P63" s="147"/>
      <c r="Q63" s="147"/>
      <c r="R63" s="147"/>
      <c r="S63" s="147"/>
      <c r="T63" s="147"/>
      <c r="U63" s="147"/>
      <c r="V63" s="147"/>
      <c r="W63" s="147"/>
      <c r="X63" s="147"/>
    </row>
    <row r="64" spans="1:24" ht="13" x14ac:dyDescent="0.15">
      <c r="A64" s="146">
        <v>1</v>
      </c>
      <c r="B64" s="149" t="s">
        <v>2</v>
      </c>
      <c r="C64" s="147"/>
      <c r="D64" s="147"/>
      <c r="E64" s="147"/>
      <c r="F64" s="147"/>
      <c r="G64" s="41" t="str">
        <f ca="1">IFERROR(OFFSET(Abilities!$N$1,MATCH(B64,Abilities!C:C,0)-1,A64),0)</f>
        <v>R1</v>
      </c>
      <c r="J64" s="41" t="str">
        <f ca="1">OFFSET(Abilities!$N$1,MATCH(B64,Abilities!C:C,0)-1,-7)</f>
        <v>Affinity req</v>
      </c>
      <c r="K64" s="1" t="str">
        <f ca="1">OFFSET(Abilities!$N$1,MATCH(B64,Abilities!C:C,0)-1,-12)</f>
        <v>Category</v>
      </c>
      <c r="L64" s="148" t="str">
        <f ca="1">OFFSET(Abilities!$N$1,MATCH(B64,Abilities!C:C,0)-1,-9)</f>
        <v>Rules Text</v>
      </c>
      <c r="M64" s="147"/>
      <c r="N64" s="147"/>
      <c r="O64" s="147"/>
      <c r="P64" s="147"/>
      <c r="Q64" s="147"/>
      <c r="R64" s="147"/>
      <c r="S64" s="147"/>
      <c r="T64" s="147"/>
      <c r="U64" s="147"/>
      <c r="V64" s="147"/>
      <c r="W64" s="147"/>
      <c r="X64" s="147"/>
    </row>
    <row r="65" spans="1:24" ht="13" x14ac:dyDescent="0.15">
      <c r="A65" s="146">
        <v>1</v>
      </c>
      <c r="B65" s="149" t="s">
        <v>2</v>
      </c>
      <c r="C65" s="147"/>
      <c r="D65" s="147"/>
      <c r="E65" s="147"/>
      <c r="F65" s="147"/>
      <c r="G65" s="41" t="str">
        <f ca="1">IFERROR(OFFSET(Abilities!$N$1,MATCH(B65,Abilities!C:C,0)-1,A65),0)</f>
        <v>R1</v>
      </c>
      <c r="J65" s="41" t="str">
        <f ca="1">OFFSET(Abilities!$N$1,MATCH(B65,Abilities!C:C,0)-1,-7)</f>
        <v>Affinity req</v>
      </c>
      <c r="K65" s="1" t="str">
        <f ca="1">OFFSET(Abilities!$N$1,MATCH(B65,Abilities!C:C,0)-1,-12)</f>
        <v>Category</v>
      </c>
      <c r="L65" s="148" t="str">
        <f ca="1">OFFSET(Abilities!$N$1,MATCH(B65,Abilities!C:C,0)-1,-9)</f>
        <v>Rules Text</v>
      </c>
      <c r="M65" s="147"/>
      <c r="N65" s="147"/>
      <c r="O65" s="147"/>
      <c r="P65" s="147"/>
      <c r="Q65" s="147"/>
      <c r="R65" s="147"/>
      <c r="S65" s="147"/>
      <c r="T65" s="147"/>
      <c r="U65" s="147"/>
      <c r="V65" s="147"/>
      <c r="W65" s="147"/>
      <c r="X65" s="147"/>
    </row>
    <row r="66" spans="1:24" ht="13" x14ac:dyDescent="0.15">
      <c r="A66" s="146">
        <v>1</v>
      </c>
      <c r="B66" s="149" t="s">
        <v>2</v>
      </c>
      <c r="C66" s="147"/>
      <c r="D66" s="147"/>
      <c r="E66" s="147"/>
      <c r="F66" s="147"/>
      <c r="G66" s="41" t="str">
        <f ca="1">IFERROR(OFFSET(Abilities!$N$1,MATCH(B66,Abilities!C:C,0)-1,A66),0)</f>
        <v>R1</v>
      </c>
      <c r="J66" s="41" t="str">
        <f ca="1">OFFSET(Abilities!$N$1,MATCH(B66,Abilities!C:C,0)-1,-7)</f>
        <v>Affinity req</v>
      </c>
      <c r="K66" s="1" t="str">
        <f ca="1">OFFSET(Abilities!$N$1,MATCH(B66,Abilities!C:C,0)-1,-12)</f>
        <v>Category</v>
      </c>
      <c r="L66" s="148" t="str">
        <f ca="1">OFFSET(Abilities!$N$1,MATCH(B66,Abilities!C:C,0)-1,-9)</f>
        <v>Rules Text</v>
      </c>
      <c r="M66" s="147"/>
      <c r="N66" s="147"/>
      <c r="O66" s="147"/>
      <c r="P66" s="147"/>
      <c r="Q66" s="147"/>
      <c r="R66" s="147"/>
      <c r="S66" s="147"/>
      <c r="T66" s="147"/>
      <c r="U66" s="147"/>
      <c r="V66" s="147"/>
      <c r="W66" s="147"/>
      <c r="X66" s="147"/>
    </row>
    <row r="67" spans="1:24" ht="13" x14ac:dyDescent="0.15">
      <c r="A67" s="146">
        <v>1</v>
      </c>
      <c r="B67" s="149" t="s">
        <v>2</v>
      </c>
      <c r="C67" s="147"/>
      <c r="D67" s="147"/>
      <c r="E67" s="147"/>
      <c r="F67" s="147"/>
      <c r="G67" s="41" t="str">
        <f ca="1">IFERROR(OFFSET(Abilities!$N$1,MATCH(B67,Abilities!C:C,0)-1,A67),0)</f>
        <v>R1</v>
      </c>
      <c r="J67" s="41" t="str">
        <f ca="1">OFFSET(Abilities!$N$1,MATCH(B67,Abilities!C:C,0)-1,-7)</f>
        <v>Affinity req</v>
      </c>
      <c r="K67" s="1" t="str">
        <f ca="1">OFFSET(Abilities!$N$1,MATCH(B67,Abilities!C:C,0)-1,-12)</f>
        <v>Category</v>
      </c>
      <c r="L67" s="148" t="str">
        <f ca="1">OFFSET(Abilities!$N$1,MATCH(B67,Abilities!C:C,0)-1,-9)</f>
        <v>Rules Text</v>
      </c>
      <c r="M67" s="147"/>
      <c r="N67" s="147"/>
      <c r="O67" s="147"/>
      <c r="P67" s="147"/>
      <c r="Q67" s="147"/>
      <c r="R67" s="147"/>
      <c r="S67" s="147"/>
      <c r="T67" s="147"/>
      <c r="U67" s="147"/>
      <c r="V67" s="147"/>
      <c r="W67" s="147"/>
      <c r="X67" s="147"/>
    </row>
    <row r="68" spans="1:24" ht="13" x14ac:dyDescent="0.15">
      <c r="A68" s="146">
        <v>1</v>
      </c>
      <c r="B68" s="149" t="s">
        <v>2</v>
      </c>
      <c r="C68" s="147"/>
      <c r="D68" s="147"/>
      <c r="E68" s="147"/>
      <c r="F68" s="147"/>
      <c r="G68" s="41" t="str">
        <f ca="1">IFERROR(OFFSET(Abilities!$N$1,MATCH(B68,Abilities!C:C,0)-1,A68),0)</f>
        <v>R1</v>
      </c>
      <c r="J68" s="41" t="str">
        <f ca="1">OFFSET(Abilities!$N$1,MATCH(B68,Abilities!C:C,0)-1,-7)</f>
        <v>Affinity req</v>
      </c>
      <c r="K68" s="1" t="str">
        <f ca="1">OFFSET(Abilities!$N$1,MATCH(B68,Abilities!C:C,0)-1,-12)</f>
        <v>Category</v>
      </c>
      <c r="L68" s="148" t="str">
        <f ca="1">OFFSET(Abilities!$N$1,MATCH(B68,Abilities!C:C,0)-1,-9)</f>
        <v>Rules Text</v>
      </c>
      <c r="M68" s="147"/>
      <c r="N68" s="147"/>
      <c r="O68" s="147"/>
      <c r="P68" s="147"/>
      <c r="Q68" s="147"/>
      <c r="R68" s="147"/>
      <c r="S68" s="147"/>
      <c r="T68" s="147"/>
      <c r="U68" s="147"/>
      <c r="V68" s="147"/>
      <c r="W68" s="147"/>
      <c r="X68" s="147"/>
    </row>
    <row r="69" spans="1:24" ht="13" x14ac:dyDescent="0.15">
      <c r="A69" s="146">
        <v>1</v>
      </c>
      <c r="B69" s="149" t="s">
        <v>2</v>
      </c>
      <c r="C69" s="147"/>
      <c r="D69" s="147"/>
      <c r="E69" s="147"/>
      <c r="F69" s="147"/>
      <c r="G69" s="41" t="str">
        <f ca="1">IFERROR(OFFSET(Abilities!$N$1,MATCH(B69,Abilities!C:C,0)-1,A69),0)</f>
        <v>R1</v>
      </c>
      <c r="J69" s="41" t="str">
        <f ca="1">OFFSET(Abilities!$N$1,MATCH(B69,Abilities!C:C,0)-1,-7)</f>
        <v>Affinity req</v>
      </c>
      <c r="K69" s="1" t="str">
        <f ca="1">OFFSET(Abilities!$N$1,MATCH(B69,Abilities!C:C,0)-1,-12)</f>
        <v>Category</v>
      </c>
      <c r="L69" s="148" t="str">
        <f ca="1">OFFSET(Abilities!$N$1,MATCH(B69,Abilities!C:C,0)-1,-9)</f>
        <v>Rules Text</v>
      </c>
      <c r="M69" s="147"/>
      <c r="N69" s="147"/>
      <c r="O69" s="147"/>
      <c r="P69" s="147"/>
      <c r="Q69" s="147"/>
      <c r="R69" s="147"/>
      <c r="S69" s="147"/>
      <c r="T69" s="147"/>
      <c r="U69" s="147"/>
      <c r="V69" s="147"/>
      <c r="W69" s="147"/>
      <c r="X69" s="147"/>
    </row>
    <row r="70" spans="1:24" ht="13" x14ac:dyDescent="0.15">
      <c r="A70" s="146">
        <v>1</v>
      </c>
      <c r="B70" s="149" t="s">
        <v>2</v>
      </c>
      <c r="C70" s="147"/>
      <c r="D70" s="147"/>
      <c r="E70" s="147"/>
      <c r="F70" s="147"/>
      <c r="G70" s="41" t="str">
        <f ca="1">IFERROR(OFFSET(Abilities!$N$1,MATCH(B70,Abilities!C:C,0)-1,A70),0)</f>
        <v>R1</v>
      </c>
      <c r="J70" s="41" t="str">
        <f ca="1">OFFSET(Abilities!$N$1,MATCH(B70,Abilities!C:C,0)-1,-7)</f>
        <v>Affinity req</v>
      </c>
      <c r="K70" s="1" t="str">
        <f ca="1">OFFSET(Abilities!$N$1,MATCH(B70,Abilities!C:C,0)-1,-12)</f>
        <v>Category</v>
      </c>
      <c r="L70" s="148" t="str">
        <f ca="1">OFFSET(Abilities!$N$1,MATCH(B70,Abilities!C:C,0)-1,-9)</f>
        <v>Rules Text</v>
      </c>
      <c r="M70" s="147"/>
      <c r="N70" s="147"/>
      <c r="O70" s="147"/>
      <c r="P70" s="147"/>
      <c r="Q70" s="147"/>
      <c r="R70" s="147"/>
      <c r="S70" s="147"/>
      <c r="T70" s="147"/>
      <c r="U70" s="147"/>
      <c r="V70" s="147"/>
      <c r="W70" s="147"/>
      <c r="X70" s="147"/>
    </row>
    <row r="71" spans="1:24" ht="13" x14ac:dyDescent="0.15">
      <c r="A71" s="146">
        <v>1</v>
      </c>
      <c r="B71" s="149" t="s">
        <v>2</v>
      </c>
      <c r="C71" s="147"/>
      <c r="D71" s="147"/>
      <c r="E71" s="147"/>
      <c r="F71" s="147"/>
      <c r="G71" s="41" t="str">
        <f ca="1">IFERROR(OFFSET(Abilities!$N$1,MATCH(B71,Abilities!C:C,0)-1,A71),0)</f>
        <v>R1</v>
      </c>
      <c r="J71" s="41" t="str">
        <f ca="1">OFFSET(Abilities!$N$1,MATCH(B71,Abilities!C:C,0)-1,-7)</f>
        <v>Affinity req</v>
      </c>
      <c r="K71" s="1" t="str">
        <f ca="1">OFFSET(Abilities!$N$1,MATCH(B71,Abilities!C:C,0)-1,-12)</f>
        <v>Category</v>
      </c>
      <c r="L71" s="148" t="str">
        <f ca="1">OFFSET(Abilities!$N$1,MATCH(B71,Abilities!C:C,0)-1,-9)</f>
        <v>Rules Text</v>
      </c>
      <c r="M71" s="147"/>
      <c r="N71" s="147"/>
      <c r="O71" s="147"/>
      <c r="P71" s="147"/>
      <c r="Q71" s="147"/>
      <c r="R71" s="147"/>
      <c r="S71" s="147"/>
      <c r="T71" s="147"/>
      <c r="U71" s="147"/>
      <c r="V71" s="147"/>
      <c r="W71" s="147"/>
      <c r="X71" s="147"/>
    </row>
    <row r="72" spans="1:24" ht="13" x14ac:dyDescent="0.15">
      <c r="A72" s="146">
        <v>1</v>
      </c>
      <c r="B72" s="149" t="s">
        <v>2</v>
      </c>
      <c r="C72" s="147"/>
      <c r="D72" s="147"/>
      <c r="E72" s="147"/>
      <c r="F72" s="147"/>
      <c r="G72" s="41" t="str">
        <f ca="1">IFERROR(OFFSET(Abilities!$N$1,MATCH(B72,Abilities!C:C,0)-1,A72),0)</f>
        <v>R1</v>
      </c>
      <c r="J72" s="41" t="str">
        <f ca="1">OFFSET(Abilities!$N$1,MATCH(B72,Abilities!C:C,0)-1,-7)</f>
        <v>Affinity req</v>
      </c>
      <c r="K72" s="1" t="str">
        <f ca="1">OFFSET(Abilities!$N$1,MATCH(B72,Abilities!C:C,0)-1,-12)</f>
        <v>Category</v>
      </c>
      <c r="L72" s="148" t="str">
        <f ca="1">OFFSET(Abilities!$N$1,MATCH(B72,Abilities!C:C,0)-1,-9)</f>
        <v>Rules Text</v>
      </c>
      <c r="M72" s="147"/>
      <c r="N72" s="147"/>
      <c r="O72" s="147"/>
      <c r="P72" s="147"/>
      <c r="Q72" s="147"/>
      <c r="R72" s="147"/>
      <c r="S72" s="147"/>
      <c r="T72" s="147"/>
      <c r="U72" s="147"/>
      <c r="V72" s="147"/>
      <c r="W72" s="147"/>
      <c r="X72" s="147"/>
    </row>
    <row r="73" spans="1:24" ht="13" x14ac:dyDescent="0.15">
      <c r="A73" s="146">
        <v>1</v>
      </c>
      <c r="B73" s="149" t="s">
        <v>2</v>
      </c>
      <c r="C73" s="147"/>
      <c r="D73" s="147"/>
      <c r="E73" s="147"/>
      <c r="F73" s="147"/>
      <c r="G73" s="41" t="str">
        <f ca="1">IFERROR(OFFSET(Abilities!$N$1,MATCH(B73,Abilities!C:C,0)-1,A73),0)</f>
        <v>R1</v>
      </c>
      <c r="J73" s="41" t="str">
        <f ca="1">OFFSET(Abilities!$N$1,MATCH(B73,Abilities!C:C,0)-1,-7)</f>
        <v>Affinity req</v>
      </c>
      <c r="K73" s="1" t="str">
        <f ca="1">OFFSET(Abilities!$N$1,MATCH(B73,Abilities!C:C,0)-1,-12)</f>
        <v>Category</v>
      </c>
      <c r="L73" s="148" t="str">
        <f ca="1">OFFSET(Abilities!$N$1,MATCH(B73,Abilities!C:C,0)-1,-9)</f>
        <v>Rules Text</v>
      </c>
      <c r="M73" s="147"/>
      <c r="N73" s="147"/>
      <c r="O73" s="147"/>
      <c r="P73" s="147"/>
      <c r="Q73" s="147"/>
      <c r="R73" s="147"/>
      <c r="S73" s="147"/>
      <c r="T73" s="147"/>
      <c r="U73" s="147"/>
      <c r="V73" s="147"/>
      <c r="W73" s="147"/>
      <c r="X73" s="147"/>
    </row>
    <row r="74" spans="1:24" ht="13" x14ac:dyDescent="0.15">
      <c r="A74" s="146">
        <v>1</v>
      </c>
      <c r="B74" s="149" t="s">
        <v>2</v>
      </c>
      <c r="C74" s="147"/>
      <c r="D74" s="147"/>
      <c r="E74" s="147"/>
      <c r="F74" s="147"/>
      <c r="G74" s="41" t="str">
        <f ca="1">IFERROR(OFFSET(Abilities!$N$1,MATCH(B74,Abilities!C:C,0)-1,A74),0)</f>
        <v>R1</v>
      </c>
      <c r="J74" s="41" t="str">
        <f ca="1">OFFSET(Abilities!$N$1,MATCH(B74,Abilities!C:C,0)-1,-7)</f>
        <v>Affinity req</v>
      </c>
      <c r="K74" s="1" t="str">
        <f ca="1">OFFSET(Abilities!$N$1,MATCH(B74,Abilities!C:C,0)-1,-12)</f>
        <v>Category</v>
      </c>
      <c r="L74" s="148" t="str">
        <f ca="1">OFFSET(Abilities!$N$1,MATCH(B74,Abilities!C:C,0)-1,-9)</f>
        <v>Rules Text</v>
      </c>
      <c r="M74" s="147"/>
      <c r="N74" s="147"/>
      <c r="O74" s="147"/>
      <c r="P74" s="147"/>
      <c r="Q74" s="147"/>
      <c r="R74" s="147"/>
      <c r="S74" s="147"/>
      <c r="T74" s="147"/>
      <c r="U74" s="147"/>
      <c r="V74" s="147"/>
      <c r="W74" s="147"/>
      <c r="X74" s="147"/>
    </row>
    <row r="75" spans="1:24" ht="13" x14ac:dyDescent="0.15">
      <c r="A75" s="146">
        <v>1</v>
      </c>
      <c r="B75" s="149" t="s">
        <v>2</v>
      </c>
      <c r="C75" s="147"/>
      <c r="D75" s="147"/>
      <c r="E75" s="147"/>
      <c r="F75" s="147"/>
      <c r="G75" s="41" t="str">
        <f ca="1">IFERROR(OFFSET(Abilities!$N$1,MATCH(B75,Abilities!C:C,0)-1,A75),0)</f>
        <v>R1</v>
      </c>
      <c r="J75" s="41" t="str">
        <f ca="1">OFFSET(Abilities!$N$1,MATCH(B75,Abilities!C:C,0)-1,-7)</f>
        <v>Affinity req</v>
      </c>
      <c r="K75" s="1" t="str">
        <f ca="1">OFFSET(Abilities!$N$1,MATCH(B75,Abilities!C:C,0)-1,-12)</f>
        <v>Category</v>
      </c>
      <c r="L75" s="148" t="str">
        <f ca="1">OFFSET(Abilities!$N$1,MATCH(B75,Abilities!C:C,0)-1,-9)</f>
        <v>Rules Text</v>
      </c>
      <c r="M75" s="147"/>
      <c r="N75" s="147"/>
      <c r="O75" s="147"/>
      <c r="P75" s="147"/>
      <c r="Q75" s="147"/>
      <c r="R75" s="147"/>
      <c r="S75" s="147"/>
      <c r="T75" s="147"/>
      <c r="U75" s="147"/>
      <c r="V75" s="147"/>
      <c r="W75" s="147"/>
      <c r="X75" s="147"/>
    </row>
    <row r="76" spans="1:24" ht="13" x14ac:dyDescent="0.15">
      <c r="A76" s="146">
        <v>1</v>
      </c>
      <c r="B76" s="149" t="s">
        <v>2</v>
      </c>
      <c r="C76" s="147"/>
      <c r="D76" s="147"/>
      <c r="E76" s="147"/>
      <c r="F76" s="147"/>
      <c r="G76" s="41" t="str">
        <f ca="1">IFERROR(OFFSET(Abilities!$N$1,MATCH(B76,Abilities!C:C,0)-1,A76),0)</f>
        <v>R1</v>
      </c>
      <c r="J76" s="41" t="str">
        <f ca="1">OFFSET(Abilities!$N$1,MATCH(B76,Abilities!C:C,0)-1,-7)</f>
        <v>Affinity req</v>
      </c>
      <c r="K76" s="1" t="str">
        <f ca="1">OFFSET(Abilities!$N$1,MATCH(B76,Abilities!C:C,0)-1,-12)</f>
        <v>Category</v>
      </c>
      <c r="L76" s="148" t="str">
        <f ca="1">OFFSET(Abilities!$N$1,MATCH(B76,Abilities!C:C,0)-1,-9)</f>
        <v>Rules Text</v>
      </c>
      <c r="M76" s="147"/>
      <c r="N76" s="147"/>
      <c r="O76" s="147"/>
      <c r="P76" s="147"/>
      <c r="Q76" s="147"/>
      <c r="R76" s="147"/>
      <c r="S76" s="147"/>
      <c r="T76" s="147"/>
      <c r="U76" s="147"/>
      <c r="V76" s="147"/>
      <c r="W76" s="147"/>
      <c r="X76" s="147"/>
    </row>
    <row r="77" spans="1:24" ht="13" x14ac:dyDescent="0.15">
      <c r="A77" s="146">
        <v>1</v>
      </c>
      <c r="B77" s="149" t="s">
        <v>2</v>
      </c>
      <c r="C77" s="147"/>
      <c r="D77" s="147"/>
      <c r="E77" s="147"/>
      <c r="F77" s="147"/>
      <c r="G77" s="41" t="str">
        <f ca="1">IFERROR(OFFSET(Abilities!$N$1,MATCH(B77,Abilities!C:C,0)-1,A77),0)</f>
        <v>R1</v>
      </c>
      <c r="J77" s="41" t="str">
        <f ca="1">OFFSET(Abilities!$N$1,MATCH(B77,Abilities!C:C,0)-1,-7)</f>
        <v>Affinity req</v>
      </c>
      <c r="K77" s="1" t="str">
        <f ca="1">OFFSET(Abilities!$N$1,MATCH(B77,Abilities!C:C,0)-1,-12)</f>
        <v>Category</v>
      </c>
      <c r="L77" s="148" t="str">
        <f ca="1">OFFSET(Abilities!$N$1,MATCH(B77,Abilities!C:C,0)-1,-9)</f>
        <v>Rules Text</v>
      </c>
      <c r="M77" s="147"/>
      <c r="N77" s="147"/>
      <c r="O77" s="147"/>
      <c r="P77" s="147"/>
      <c r="Q77" s="147"/>
      <c r="R77" s="147"/>
      <c r="S77" s="147"/>
      <c r="T77" s="147"/>
      <c r="U77" s="147"/>
      <c r="V77" s="147"/>
      <c r="W77" s="147"/>
      <c r="X77" s="147"/>
    </row>
    <row r="78" spans="1:24" ht="13" x14ac:dyDescent="0.15">
      <c r="A78" s="146">
        <v>1</v>
      </c>
      <c r="B78" s="149" t="s">
        <v>2</v>
      </c>
      <c r="C78" s="147"/>
      <c r="D78" s="147"/>
      <c r="E78" s="147"/>
      <c r="F78" s="147"/>
      <c r="G78" s="41" t="str">
        <f ca="1">IFERROR(OFFSET(Abilities!$N$1,MATCH(B78,Abilities!C:C,0)-1,A78),0)</f>
        <v>R1</v>
      </c>
      <c r="J78" s="41" t="str">
        <f ca="1">OFFSET(Abilities!$N$1,MATCH(B78,Abilities!C:C,0)-1,-7)</f>
        <v>Affinity req</v>
      </c>
      <c r="K78" s="1" t="str">
        <f ca="1">OFFSET(Abilities!$N$1,MATCH(B78,Abilities!C:C,0)-1,-12)</f>
        <v>Category</v>
      </c>
      <c r="L78" s="148" t="str">
        <f ca="1">OFFSET(Abilities!$N$1,MATCH(B78,Abilities!C:C,0)-1,-9)</f>
        <v>Rules Text</v>
      </c>
      <c r="M78" s="147"/>
      <c r="N78" s="147"/>
      <c r="O78" s="147"/>
      <c r="P78" s="147"/>
      <c r="Q78" s="147"/>
      <c r="R78" s="147"/>
      <c r="S78" s="147"/>
      <c r="T78" s="147"/>
      <c r="U78" s="147"/>
      <c r="V78" s="147"/>
      <c r="W78" s="147"/>
      <c r="X78" s="147"/>
    </row>
    <row r="79" spans="1:24" ht="13" x14ac:dyDescent="0.15">
      <c r="A79" s="146">
        <v>1</v>
      </c>
      <c r="B79" s="149" t="s">
        <v>2</v>
      </c>
      <c r="C79" s="147"/>
      <c r="D79" s="147"/>
      <c r="E79" s="147"/>
      <c r="F79" s="147"/>
      <c r="G79" s="41" t="str">
        <f ca="1">IFERROR(OFFSET(Abilities!$N$1,MATCH(B79,Abilities!C:C,0)-1,A79),0)</f>
        <v>R1</v>
      </c>
      <c r="J79" s="41" t="str">
        <f ca="1">OFFSET(Abilities!$N$1,MATCH(B79,Abilities!C:C,0)-1,-7)</f>
        <v>Affinity req</v>
      </c>
      <c r="K79" s="1" t="str">
        <f ca="1">OFFSET(Abilities!$N$1,MATCH(B79,Abilities!C:C,0)-1,-12)</f>
        <v>Category</v>
      </c>
      <c r="L79" s="148" t="str">
        <f ca="1">OFFSET(Abilities!$N$1,MATCH(B79,Abilities!C:C,0)-1,-9)</f>
        <v>Rules Text</v>
      </c>
      <c r="M79" s="147"/>
      <c r="N79" s="147"/>
      <c r="O79" s="147"/>
      <c r="P79" s="147"/>
      <c r="Q79" s="147"/>
      <c r="R79" s="147"/>
      <c r="S79" s="147"/>
      <c r="T79" s="147"/>
      <c r="U79" s="147"/>
      <c r="V79" s="147"/>
      <c r="W79" s="147"/>
      <c r="X79" s="147"/>
    </row>
    <row r="80" spans="1:24" ht="13" x14ac:dyDescent="0.15">
      <c r="A80" s="146">
        <v>1</v>
      </c>
      <c r="B80" s="149" t="s">
        <v>2</v>
      </c>
      <c r="C80" s="147"/>
      <c r="D80" s="147"/>
      <c r="E80" s="147"/>
      <c r="F80" s="147"/>
      <c r="G80" s="41" t="str">
        <f ca="1">IFERROR(OFFSET(Abilities!$N$1,MATCH(B80,Abilities!C:C,0)-1,A80),0)</f>
        <v>R1</v>
      </c>
      <c r="J80" s="41" t="str">
        <f ca="1">OFFSET(Abilities!$N$1,MATCH(B80,Abilities!C:C,0)-1,-7)</f>
        <v>Affinity req</v>
      </c>
      <c r="K80" s="1" t="str">
        <f ca="1">OFFSET(Abilities!$N$1,MATCH(B80,Abilities!C:C,0)-1,-12)</f>
        <v>Category</v>
      </c>
      <c r="L80" s="148" t="str">
        <f ca="1">OFFSET(Abilities!$N$1,MATCH(B80,Abilities!C:C,0)-1,-9)</f>
        <v>Rules Text</v>
      </c>
      <c r="M80" s="147"/>
      <c r="N80" s="147"/>
      <c r="O80" s="147"/>
      <c r="P80" s="147"/>
      <c r="Q80" s="147"/>
      <c r="R80" s="147"/>
      <c r="S80" s="147"/>
      <c r="T80" s="147"/>
      <c r="U80" s="147"/>
      <c r="V80" s="147"/>
      <c r="W80" s="147"/>
      <c r="X80" s="147"/>
    </row>
    <row r="81" spans="1:24" ht="13" x14ac:dyDescent="0.15">
      <c r="A81" s="146">
        <v>1</v>
      </c>
      <c r="B81" s="149" t="s">
        <v>2</v>
      </c>
      <c r="C81" s="147"/>
      <c r="D81" s="147"/>
      <c r="E81" s="147"/>
      <c r="F81" s="147"/>
      <c r="G81" s="41" t="str">
        <f ca="1">IFERROR(OFFSET(Abilities!$N$1,MATCH(B81,Abilities!C:C,0)-1,A81),0)</f>
        <v>R1</v>
      </c>
      <c r="J81" s="41" t="str">
        <f ca="1">OFFSET(Abilities!$N$1,MATCH(B81,Abilities!C:C,0)-1,-7)</f>
        <v>Affinity req</v>
      </c>
      <c r="K81" s="1" t="str">
        <f ca="1">OFFSET(Abilities!$N$1,MATCH(B81,Abilities!C:C,0)-1,-12)</f>
        <v>Category</v>
      </c>
      <c r="L81" s="148" t="str">
        <f ca="1">OFFSET(Abilities!$N$1,MATCH(B81,Abilities!C:C,0)-1,-9)</f>
        <v>Rules Text</v>
      </c>
      <c r="M81" s="147"/>
      <c r="N81" s="147"/>
      <c r="O81" s="147"/>
      <c r="P81" s="147"/>
      <c r="Q81" s="147"/>
      <c r="R81" s="147"/>
      <c r="S81" s="147"/>
      <c r="T81" s="147"/>
      <c r="U81" s="147"/>
      <c r="V81" s="147"/>
      <c r="W81" s="147"/>
      <c r="X81" s="147"/>
    </row>
    <row r="82" spans="1:24" ht="13" x14ac:dyDescent="0.15">
      <c r="A82" s="146">
        <v>1</v>
      </c>
      <c r="B82" s="149" t="s">
        <v>2</v>
      </c>
      <c r="C82" s="147"/>
      <c r="D82" s="147"/>
      <c r="E82" s="147"/>
      <c r="F82" s="147"/>
      <c r="G82" s="41" t="str">
        <f ca="1">IFERROR(OFFSET(Abilities!$N$1,MATCH(B82,Abilities!C:C,0)-1,A82),0)</f>
        <v>R1</v>
      </c>
      <c r="J82" s="41" t="str">
        <f ca="1">OFFSET(Abilities!$N$1,MATCH(B82,Abilities!C:C,0)-1,-7)</f>
        <v>Affinity req</v>
      </c>
      <c r="K82" s="1" t="str">
        <f ca="1">OFFSET(Abilities!$N$1,MATCH(B82,Abilities!C:C,0)-1,-12)</f>
        <v>Category</v>
      </c>
      <c r="L82" s="148" t="str">
        <f ca="1">OFFSET(Abilities!$N$1,MATCH(B82,Abilities!C:C,0)-1,-9)</f>
        <v>Rules Text</v>
      </c>
      <c r="M82" s="147"/>
      <c r="N82" s="147"/>
      <c r="O82" s="147"/>
      <c r="P82" s="147"/>
      <c r="Q82" s="147"/>
      <c r="R82" s="147"/>
      <c r="S82" s="147"/>
      <c r="T82" s="147"/>
      <c r="U82" s="147"/>
      <c r="V82" s="147"/>
      <c r="W82" s="147"/>
      <c r="X82" s="147"/>
    </row>
    <row r="83" spans="1:24" ht="13" x14ac:dyDescent="0.15">
      <c r="A83" s="146">
        <v>1</v>
      </c>
      <c r="B83" s="149" t="s">
        <v>2</v>
      </c>
      <c r="C83" s="147"/>
      <c r="D83" s="147"/>
      <c r="E83" s="147"/>
      <c r="F83" s="147"/>
      <c r="G83" s="41" t="str">
        <f ca="1">IFERROR(OFFSET(Abilities!$N$1,MATCH(B83,Abilities!C:C,0)-1,A83),0)</f>
        <v>R1</v>
      </c>
      <c r="J83" s="41" t="str">
        <f ca="1">OFFSET(Abilities!$N$1,MATCH(B83,Abilities!C:C,0)-1,-7)</f>
        <v>Affinity req</v>
      </c>
      <c r="K83" s="1" t="str">
        <f ca="1">OFFSET(Abilities!$N$1,MATCH(B83,Abilities!C:C,0)-1,-12)</f>
        <v>Category</v>
      </c>
      <c r="L83" s="148" t="str">
        <f ca="1">OFFSET(Abilities!$N$1,MATCH(B83,Abilities!C:C,0)-1,-9)</f>
        <v>Rules Text</v>
      </c>
      <c r="M83" s="147"/>
      <c r="N83" s="147"/>
      <c r="O83" s="147"/>
      <c r="P83" s="147"/>
      <c r="Q83" s="147"/>
      <c r="R83" s="147"/>
      <c r="S83" s="147"/>
      <c r="T83" s="147"/>
      <c r="U83" s="147"/>
      <c r="V83" s="147"/>
      <c r="W83" s="147"/>
      <c r="X83" s="147"/>
    </row>
    <row r="84" spans="1:24" ht="13" x14ac:dyDescent="0.15">
      <c r="A84" s="146">
        <v>1</v>
      </c>
      <c r="B84" s="149" t="s">
        <v>2</v>
      </c>
      <c r="C84" s="147"/>
      <c r="D84" s="147"/>
      <c r="E84" s="147"/>
      <c r="F84" s="147"/>
      <c r="G84" s="41" t="str">
        <f ca="1">IFERROR(OFFSET(Abilities!$N$1,MATCH(B84,Abilities!C:C,0)-1,A84),0)</f>
        <v>R1</v>
      </c>
      <c r="J84" s="41" t="str">
        <f ca="1">OFFSET(Abilities!$N$1,MATCH(B84,Abilities!C:C,0)-1,-7)</f>
        <v>Affinity req</v>
      </c>
      <c r="K84" s="1" t="str">
        <f ca="1">OFFSET(Abilities!$N$1,MATCH(B84,Abilities!C:C,0)-1,-12)</f>
        <v>Category</v>
      </c>
      <c r="L84" s="148" t="str">
        <f ca="1">OFFSET(Abilities!$N$1,MATCH(B84,Abilities!C:C,0)-1,-9)</f>
        <v>Rules Text</v>
      </c>
      <c r="M84" s="147"/>
      <c r="N84" s="147"/>
      <c r="O84" s="147"/>
      <c r="P84" s="147"/>
      <c r="Q84" s="147"/>
      <c r="R84" s="147"/>
      <c r="S84" s="147"/>
      <c r="T84" s="147"/>
      <c r="U84" s="147"/>
      <c r="V84" s="147"/>
      <c r="W84" s="147"/>
      <c r="X84" s="147"/>
    </row>
    <row r="85" spans="1:24" ht="13" x14ac:dyDescent="0.15">
      <c r="A85" s="146">
        <v>1</v>
      </c>
      <c r="B85" s="149" t="s">
        <v>2</v>
      </c>
      <c r="C85" s="147"/>
      <c r="D85" s="147"/>
      <c r="E85" s="147"/>
      <c r="F85" s="147"/>
      <c r="G85" s="41" t="str">
        <f ca="1">IFERROR(OFFSET(Abilities!$N$1,MATCH(B85,Abilities!C:C,0)-1,A85),0)</f>
        <v>R1</v>
      </c>
      <c r="J85" s="41" t="str">
        <f ca="1">OFFSET(Abilities!$N$1,MATCH(B85,Abilities!C:C,0)-1,-7)</f>
        <v>Affinity req</v>
      </c>
      <c r="K85" s="1" t="str">
        <f ca="1">OFFSET(Abilities!$N$1,MATCH(B85,Abilities!C:C,0)-1,-12)</f>
        <v>Category</v>
      </c>
      <c r="L85" s="148" t="str">
        <f ca="1">OFFSET(Abilities!$N$1,MATCH(B85,Abilities!C:C,0)-1,-9)</f>
        <v>Rules Text</v>
      </c>
      <c r="M85" s="147"/>
      <c r="N85" s="147"/>
      <c r="O85" s="147"/>
      <c r="P85" s="147"/>
      <c r="Q85" s="147"/>
      <c r="R85" s="147"/>
      <c r="S85" s="147"/>
      <c r="T85" s="147"/>
      <c r="U85" s="147"/>
      <c r="V85" s="147"/>
      <c r="W85" s="147"/>
      <c r="X85" s="147"/>
    </row>
    <row r="86" spans="1:24" ht="13" x14ac:dyDescent="0.15">
      <c r="A86" s="146">
        <v>1</v>
      </c>
      <c r="B86" s="149" t="s">
        <v>2</v>
      </c>
      <c r="C86" s="147"/>
      <c r="D86" s="147"/>
      <c r="E86" s="147"/>
      <c r="F86" s="147"/>
      <c r="G86" s="41" t="str">
        <f ca="1">IFERROR(OFFSET(Abilities!$N$1,MATCH(B86,Abilities!C:C,0)-1,A86),0)</f>
        <v>R1</v>
      </c>
      <c r="J86" s="41" t="str">
        <f ca="1">OFFSET(Abilities!$N$1,MATCH(B86,Abilities!C:C,0)-1,-7)</f>
        <v>Affinity req</v>
      </c>
      <c r="K86" s="1" t="str">
        <f ca="1">OFFSET(Abilities!$N$1,MATCH(B86,Abilities!C:C,0)-1,-12)</f>
        <v>Category</v>
      </c>
      <c r="L86" s="148" t="str">
        <f ca="1">OFFSET(Abilities!$N$1,MATCH(B86,Abilities!C:C,0)-1,-9)</f>
        <v>Rules Text</v>
      </c>
      <c r="M86" s="147"/>
      <c r="N86" s="147"/>
      <c r="O86" s="147"/>
      <c r="P86" s="147"/>
      <c r="Q86" s="147"/>
      <c r="R86" s="147"/>
      <c r="S86" s="147"/>
      <c r="T86" s="147"/>
      <c r="U86" s="147"/>
      <c r="V86" s="147"/>
      <c r="W86" s="147"/>
      <c r="X86" s="147"/>
    </row>
    <row r="87" spans="1:24" ht="13" x14ac:dyDescent="0.15">
      <c r="A87" s="146">
        <v>1</v>
      </c>
      <c r="B87" s="149" t="s">
        <v>2</v>
      </c>
      <c r="C87" s="147"/>
      <c r="D87" s="147"/>
      <c r="E87" s="147"/>
      <c r="F87" s="147"/>
      <c r="G87" s="41" t="str">
        <f ca="1">IFERROR(OFFSET(Abilities!$N$1,MATCH(B87,Abilities!C:C,0)-1,A87),0)</f>
        <v>R1</v>
      </c>
      <c r="J87" s="41" t="str">
        <f ca="1">OFFSET(Abilities!$N$1,MATCH(B87,Abilities!C:C,0)-1,-7)</f>
        <v>Affinity req</v>
      </c>
      <c r="K87" s="1" t="str">
        <f ca="1">OFFSET(Abilities!$N$1,MATCH(B87,Abilities!C:C,0)-1,-12)</f>
        <v>Category</v>
      </c>
      <c r="L87" s="148" t="str">
        <f ca="1">OFFSET(Abilities!$N$1,MATCH(B87,Abilities!C:C,0)-1,-9)</f>
        <v>Rules Text</v>
      </c>
      <c r="M87" s="147"/>
      <c r="N87" s="147"/>
      <c r="O87" s="147"/>
      <c r="P87" s="147"/>
      <c r="Q87" s="147"/>
      <c r="R87" s="147"/>
      <c r="S87" s="147"/>
      <c r="T87" s="147"/>
      <c r="U87" s="147"/>
      <c r="V87" s="147"/>
      <c r="W87" s="147"/>
      <c r="X87" s="147"/>
    </row>
    <row r="88" spans="1:24" ht="13" x14ac:dyDescent="0.15">
      <c r="A88" s="146">
        <v>1</v>
      </c>
      <c r="B88" s="149" t="s">
        <v>2</v>
      </c>
      <c r="C88" s="147"/>
      <c r="D88" s="147"/>
      <c r="E88" s="147"/>
      <c r="F88" s="147"/>
      <c r="G88" s="41" t="str">
        <f ca="1">IFERROR(OFFSET(Abilities!$N$1,MATCH(B88,Abilities!C:C,0)-1,A88),0)</f>
        <v>R1</v>
      </c>
      <c r="J88" s="41" t="str">
        <f ca="1">OFFSET(Abilities!$N$1,MATCH(B88,Abilities!C:C,0)-1,-7)</f>
        <v>Affinity req</v>
      </c>
      <c r="K88" s="1" t="str">
        <f ca="1">OFFSET(Abilities!$N$1,MATCH(B88,Abilities!C:C,0)-1,-12)</f>
        <v>Category</v>
      </c>
      <c r="L88" s="148" t="str">
        <f ca="1">OFFSET(Abilities!$N$1,MATCH(B88,Abilities!C:C,0)-1,-9)</f>
        <v>Rules Text</v>
      </c>
      <c r="M88" s="147"/>
      <c r="N88" s="147"/>
      <c r="O88" s="147"/>
      <c r="P88" s="147"/>
      <c r="Q88" s="147"/>
      <c r="R88" s="147"/>
      <c r="S88" s="147"/>
      <c r="T88" s="147"/>
      <c r="U88" s="147"/>
      <c r="V88" s="147"/>
      <c r="W88" s="147"/>
      <c r="X88" s="147"/>
    </row>
    <row r="89" spans="1:24" ht="13" x14ac:dyDescent="0.15">
      <c r="A89" s="146">
        <v>1</v>
      </c>
      <c r="B89" s="149" t="s">
        <v>2</v>
      </c>
      <c r="C89" s="147"/>
      <c r="D89" s="147"/>
      <c r="E89" s="147"/>
      <c r="F89" s="147"/>
      <c r="G89" s="41" t="str">
        <f ca="1">IFERROR(OFFSET(Abilities!$N$1,MATCH(B89,Abilities!C:C,0)-1,A89),0)</f>
        <v>R1</v>
      </c>
      <c r="J89" s="41" t="str">
        <f ca="1">OFFSET(Abilities!$N$1,MATCH(B89,Abilities!C:C,0)-1,-7)</f>
        <v>Affinity req</v>
      </c>
      <c r="K89" s="1" t="str">
        <f ca="1">OFFSET(Abilities!$N$1,MATCH(B89,Abilities!C:C,0)-1,-12)</f>
        <v>Category</v>
      </c>
      <c r="L89" s="148" t="str">
        <f ca="1">OFFSET(Abilities!$N$1,MATCH(B89,Abilities!C:C,0)-1,-9)</f>
        <v>Rules Text</v>
      </c>
      <c r="M89" s="147"/>
      <c r="N89" s="147"/>
      <c r="O89" s="147"/>
      <c r="P89" s="147"/>
      <c r="Q89" s="147"/>
      <c r="R89" s="147"/>
      <c r="S89" s="147"/>
      <c r="T89" s="147"/>
      <c r="U89" s="147"/>
      <c r="V89" s="147"/>
      <c r="W89" s="147"/>
      <c r="X89" s="147"/>
    </row>
    <row r="90" spans="1:24" ht="13" x14ac:dyDescent="0.15">
      <c r="A90" s="146">
        <v>1</v>
      </c>
      <c r="B90" s="149" t="s">
        <v>2</v>
      </c>
      <c r="C90" s="147"/>
      <c r="D90" s="147"/>
      <c r="E90" s="147"/>
      <c r="F90" s="147"/>
      <c r="G90" s="41" t="str">
        <f ca="1">IFERROR(OFFSET(Abilities!$N$1,MATCH(B90,Abilities!C:C,0)-1,A90),0)</f>
        <v>R1</v>
      </c>
      <c r="J90" s="41" t="str">
        <f ca="1">OFFSET(Abilities!$N$1,MATCH(B90,Abilities!C:C,0)-1,-7)</f>
        <v>Affinity req</v>
      </c>
      <c r="K90" s="1" t="str">
        <f ca="1">OFFSET(Abilities!$N$1,MATCH(B90,Abilities!C:C,0)-1,-12)</f>
        <v>Category</v>
      </c>
      <c r="L90" s="148" t="str">
        <f ca="1">OFFSET(Abilities!$N$1,MATCH(B90,Abilities!C:C,0)-1,-9)</f>
        <v>Rules Text</v>
      </c>
      <c r="M90" s="147"/>
      <c r="N90" s="147"/>
      <c r="O90" s="147"/>
      <c r="P90" s="147"/>
      <c r="Q90" s="147"/>
      <c r="R90" s="147"/>
      <c r="S90" s="147"/>
      <c r="T90" s="147"/>
      <c r="U90" s="147"/>
      <c r="V90" s="147"/>
      <c r="W90" s="147"/>
      <c r="X90" s="147"/>
    </row>
    <row r="91" spans="1:24" ht="13" x14ac:dyDescent="0.15">
      <c r="A91" s="146">
        <v>1</v>
      </c>
      <c r="B91" s="149" t="s">
        <v>2</v>
      </c>
      <c r="C91" s="147"/>
      <c r="D91" s="147"/>
      <c r="E91" s="147"/>
      <c r="F91" s="147"/>
      <c r="G91" s="41" t="str">
        <f ca="1">IFERROR(OFFSET(Abilities!$N$1,MATCH(B91,Abilities!C:C,0)-1,A91),0)</f>
        <v>R1</v>
      </c>
      <c r="J91" s="41" t="str">
        <f ca="1">OFFSET(Abilities!$N$1,MATCH(B91,Abilities!C:C,0)-1,-7)</f>
        <v>Affinity req</v>
      </c>
      <c r="K91" s="1" t="str">
        <f ca="1">OFFSET(Abilities!$N$1,MATCH(B91,Abilities!C:C,0)-1,-12)</f>
        <v>Category</v>
      </c>
      <c r="L91" s="148" t="str">
        <f ca="1">OFFSET(Abilities!$N$1,MATCH(B91,Abilities!C:C,0)-1,-9)</f>
        <v>Rules Text</v>
      </c>
      <c r="M91" s="147"/>
      <c r="N91" s="147"/>
      <c r="O91" s="147"/>
      <c r="P91" s="147"/>
      <c r="Q91" s="147"/>
      <c r="R91" s="147"/>
      <c r="S91" s="147"/>
      <c r="T91" s="147"/>
      <c r="U91" s="147"/>
      <c r="V91" s="147"/>
      <c r="W91" s="147"/>
      <c r="X91" s="147"/>
    </row>
    <row r="92" spans="1:24" ht="13" x14ac:dyDescent="0.15">
      <c r="A92" s="146">
        <v>1</v>
      </c>
      <c r="B92" s="149" t="s">
        <v>2</v>
      </c>
      <c r="C92" s="147"/>
      <c r="D92" s="147"/>
      <c r="E92" s="147"/>
      <c r="F92" s="147"/>
      <c r="G92" s="41" t="str">
        <f ca="1">IFERROR(OFFSET(Abilities!$N$1,MATCH(B92,Abilities!C:C,0)-1,A92),0)</f>
        <v>R1</v>
      </c>
      <c r="J92" s="41" t="str">
        <f ca="1">OFFSET(Abilities!$N$1,MATCH(B92,Abilities!C:C,0)-1,-7)</f>
        <v>Affinity req</v>
      </c>
      <c r="K92" s="1" t="str">
        <f ca="1">OFFSET(Abilities!$N$1,MATCH(B92,Abilities!C:C,0)-1,-12)</f>
        <v>Category</v>
      </c>
      <c r="L92" s="148" t="str">
        <f ca="1">OFFSET(Abilities!$N$1,MATCH(B92,Abilities!C:C,0)-1,-9)</f>
        <v>Rules Text</v>
      </c>
      <c r="M92" s="147"/>
      <c r="N92" s="147"/>
      <c r="O92" s="147"/>
      <c r="P92" s="147"/>
      <c r="Q92" s="147"/>
      <c r="R92" s="147"/>
      <c r="S92" s="147"/>
      <c r="T92" s="147"/>
      <c r="U92" s="147"/>
      <c r="V92" s="147"/>
      <c r="W92" s="147"/>
      <c r="X92" s="147"/>
    </row>
    <row r="93" spans="1:24" ht="13" x14ac:dyDescent="0.15">
      <c r="A93" s="146">
        <v>1</v>
      </c>
      <c r="B93" s="149" t="s">
        <v>2</v>
      </c>
      <c r="C93" s="147"/>
      <c r="D93" s="147"/>
      <c r="E93" s="147"/>
      <c r="F93" s="147"/>
      <c r="G93" s="41" t="str">
        <f ca="1">IFERROR(OFFSET(Abilities!$N$1,MATCH(B93,Abilities!C:C,0)-1,A93),0)</f>
        <v>R1</v>
      </c>
      <c r="J93" s="41" t="str">
        <f ca="1">OFFSET(Abilities!$N$1,MATCH(B93,Abilities!C:C,0)-1,-7)</f>
        <v>Affinity req</v>
      </c>
      <c r="K93" s="1" t="str">
        <f ca="1">OFFSET(Abilities!$N$1,MATCH(B93,Abilities!C:C,0)-1,-12)</f>
        <v>Category</v>
      </c>
      <c r="L93" s="148" t="str">
        <f ca="1">OFFSET(Abilities!$N$1,MATCH(B93,Abilities!C:C,0)-1,-9)</f>
        <v>Rules Text</v>
      </c>
      <c r="M93" s="147"/>
      <c r="N93" s="147"/>
      <c r="O93" s="147"/>
      <c r="P93" s="147"/>
      <c r="Q93" s="147"/>
      <c r="R93" s="147"/>
      <c r="S93" s="147"/>
      <c r="T93" s="147"/>
      <c r="U93" s="147"/>
      <c r="V93" s="147"/>
      <c r="W93" s="147"/>
      <c r="X93" s="147"/>
    </row>
    <row r="94" spans="1:24" ht="13" x14ac:dyDescent="0.15">
      <c r="A94" s="146">
        <v>1</v>
      </c>
      <c r="B94" s="149" t="s">
        <v>2</v>
      </c>
      <c r="C94" s="147"/>
      <c r="D94" s="147"/>
      <c r="E94" s="147"/>
      <c r="F94" s="147"/>
      <c r="G94" s="41" t="str">
        <f ca="1">IFERROR(OFFSET(Abilities!$N$1,MATCH(B94,Abilities!C:C,0)-1,A94),0)</f>
        <v>R1</v>
      </c>
      <c r="J94" s="41" t="str">
        <f ca="1">OFFSET(Abilities!$N$1,MATCH(B94,Abilities!C:C,0)-1,-7)</f>
        <v>Affinity req</v>
      </c>
      <c r="K94" s="1" t="str">
        <f ca="1">OFFSET(Abilities!$N$1,MATCH(B94,Abilities!C:C,0)-1,-12)</f>
        <v>Category</v>
      </c>
      <c r="L94" s="148" t="str">
        <f ca="1">OFFSET(Abilities!$N$1,MATCH(B94,Abilities!C:C,0)-1,-9)</f>
        <v>Rules Text</v>
      </c>
      <c r="M94" s="147"/>
      <c r="N94" s="147"/>
      <c r="O94" s="147"/>
      <c r="P94" s="147"/>
      <c r="Q94" s="147"/>
      <c r="R94" s="147"/>
      <c r="S94" s="147"/>
      <c r="T94" s="147"/>
      <c r="U94" s="147"/>
      <c r="V94" s="147"/>
      <c r="W94" s="147"/>
      <c r="X94" s="147"/>
    </row>
    <row r="95" spans="1:24" ht="13" x14ac:dyDescent="0.15">
      <c r="A95" s="146">
        <v>1</v>
      </c>
      <c r="B95" s="149" t="s">
        <v>2</v>
      </c>
      <c r="C95" s="147"/>
      <c r="D95" s="147"/>
      <c r="E95" s="147"/>
      <c r="F95" s="147"/>
      <c r="G95" s="41" t="str">
        <f ca="1">IFERROR(OFFSET(Abilities!$N$1,MATCH(B95,Abilities!C:C,0)-1,A95),0)</f>
        <v>R1</v>
      </c>
      <c r="J95" s="41" t="str">
        <f ca="1">OFFSET(Abilities!$N$1,MATCH(B95,Abilities!C:C,0)-1,-7)</f>
        <v>Affinity req</v>
      </c>
      <c r="K95" s="1" t="str">
        <f ca="1">OFFSET(Abilities!$N$1,MATCH(B95,Abilities!C:C,0)-1,-12)</f>
        <v>Category</v>
      </c>
      <c r="L95" s="148" t="str">
        <f ca="1">OFFSET(Abilities!$N$1,MATCH(B95,Abilities!C:C,0)-1,-9)</f>
        <v>Rules Text</v>
      </c>
      <c r="M95" s="147"/>
      <c r="N95" s="147"/>
      <c r="O95" s="147"/>
      <c r="P95" s="147"/>
      <c r="Q95" s="147"/>
      <c r="R95" s="147"/>
      <c r="S95" s="147"/>
      <c r="T95" s="147"/>
      <c r="U95" s="147"/>
      <c r="V95" s="147"/>
      <c r="W95" s="147"/>
      <c r="X95" s="147"/>
    </row>
    <row r="96" spans="1:24" ht="13" x14ac:dyDescent="0.15">
      <c r="A96" s="146">
        <v>1</v>
      </c>
      <c r="B96" s="149" t="s">
        <v>2</v>
      </c>
      <c r="C96" s="147"/>
      <c r="D96" s="147"/>
      <c r="E96" s="147"/>
      <c r="F96" s="147"/>
      <c r="G96" s="41" t="str">
        <f ca="1">IFERROR(OFFSET(Abilities!$N$1,MATCH(B96,Abilities!C:C,0)-1,A96),0)</f>
        <v>R1</v>
      </c>
      <c r="J96" s="41" t="str">
        <f ca="1">OFFSET(Abilities!$N$1,MATCH(B96,Abilities!C:C,0)-1,-7)</f>
        <v>Affinity req</v>
      </c>
      <c r="K96" s="1" t="str">
        <f ca="1">OFFSET(Abilities!$N$1,MATCH(B96,Abilities!C:C,0)-1,-12)</f>
        <v>Category</v>
      </c>
      <c r="L96" s="148" t="str">
        <f ca="1">OFFSET(Abilities!$N$1,MATCH(B96,Abilities!C:C,0)-1,-9)</f>
        <v>Rules Text</v>
      </c>
      <c r="M96" s="147"/>
      <c r="N96" s="147"/>
      <c r="O96" s="147"/>
      <c r="P96" s="147"/>
      <c r="Q96" s="147"/>
      <c r="R96" s="147"/>
      <c r="S96" s="147"/>
      <c r="T96" s="147"/>
      <c r="U96" s="147"/>
      <c r="V96" s="147"/>
      <c r="W96" s="147"/>
      <c r="X96" s="147"/>
    </row>
    <row r="97" spans="1:24" ht="13" x14ac:dyDescent="0.15">
      <c r="A97" s="146">
        <v>1</v>
      </c>
      <c r="B97" s="149" t="s">
        <v>2</v>
      </c>
      <c r="C97" s="147"/>
      <c r="D97" s="147"/>
      <c r="E97" s="147"/>
      <c r="F97" s="147"/>
      <c r="G97" s="41" t="str">
        <f ca="1">IFERROR(OFFSET(Abilities!$N$1,MATCH(B97,Abilities!C:C,0)-1,A97),0)</f>
        <v>R1</v>
      </c>
      <c r="J97" s="41" t="str">
        <f ca="1">OFFSET(Abilities!$N$1,MATCH(B97,Abilities!C:C,0)-1,-7)</f>
        <v>Affinity req</v>
      </c>
      <c r="K97" s="1" t="str">
        <f ca="1">OFFSET(Abilities!$N$1,MATCH(B97,Abilities!C:C,0)-1,-12)</f>
        <v>Category</v>
      </c>
      <c r="L97" s="148" t="str">
        <f ca="1">OFFSET(Abilities!$N$1,MATCH(B97,Abilities!C:C,0)-1,-9)</f>
        <v>Rules Text</v>
      </c>
      <c r="M97" s="147"/>
      <c r="N97" s="147"/>
      <c r="O97" s="147"/>
      <c r="P97" s="147"/>
      <c r="Q97" s="147"/>
      <c r="R97" s="147"/>
      <c r="S97" s="147"/>
      <c r="T97" s="147"/>
      <c r="U97" s="147"/>
      <c r="V97" s="147"/>
      <c r="W97" s="147"/>
      <c r="X97" s="147"/>
    </row>
    <row r="98" spans="1:24" ht="13" x14ac:dyDescent="0.15">
      <c r="A98" s="146">
        <v>1</v>
      </c>
      <c r="B98" s="149" t="s">
        <v>2</v>
      </c>
      <c r="C98" s="147"/>
      <c r="D98" s="147"/>
      <c r="E98" s="147"/>
      <c r="F98" s="147"/>
      <c r="G98" s="41" t="str">
        <f ca="1">IFERROR(OFFSET(Abilities!$N$1,MATCH(B98,Abilities!C:C,0)-1,A98),0)</f>
        <v>R1</v>
      </c>
      <c r="J98" s="41" t="str">
        <f ca="1">OFFSET(Abilities!$N$1,MATCH(B98,Abilities!C:C,0)-1,-7)</f>
        <v>Affinity req</v>
      </c>
      <c r="K98" s="1" t="str">
        <f ca="1">OFFSET(Abilities!$N$1,MATCH(B98,Abilities!C:C,0)-1,-12)</f>
        <v>Category</v>
      </c>
      <c r="L98" s="148" t="str">
        <f ca="1">OFFSET(Abilities!$N$1,MATCH(B98,Abilities!C:C,0)-1,-9)</f>
        <v>Rules Text</v>
      </c>
      <c r="M98" s="147"/>
      <c r="N98" s="147"/>
      <c r="O98" s="147"/>
      <c r="P98" s="147"/>
      <c r="Q98" s="147"/>
      <c r="R98" s="147"/>
      <c r="S98" s="147"/>
      <c r="T98" s="147"/>
      <c r="U98" s="147"/>
      <c r="V98" s="147"/>
      <c r="W98" s="147"/>
      <c r="X98" s="147"/>
    </row>
    <row r="99" spans="1:24" ht="13" x14ac:dyDescent="0.15">
      <c r="A99" s="146">
        <v>1</v>
      </c>
      <c r="B99" s="149" t="s">
        <v>2</v>
      </c>
      <c r="C99" s="147"/>
      <c r="D99" s="147"/>
      <c r="E99" s="147"/>
      <c r="F99" s="147"/>
      <c r="G99" s="41" t="str">
        <f ca="1">IFERROR(OFFSET(Abilities!$N$1,MATCH(B99,Abilities!C:C,0)-1,A99),0)</f>
        <v>R1</v>
      </c>
      <c r="J99" s="41" t="str">
        <f ca="1">OFFSET(Abilities!$N$1,MATCH(B99,Abilities!C:C,0)-1,-7)</f>
        <v>Affinity req</v>
      </c>
      <c r="K99" s="1" t="str">
        <f ca="1">OFFSET(Abilities!$N$1,MATCH(B99,Abilities!C:C,0)-1,-12)</f>
        <v>Category</v>
      </c>
      <c r="L99" s="148" t="str">
        <f ca="1">OFFSET(Abilities!$N$1,MATCH(B99,Abilities!C:C,0)-1,-9)</f>
        <v>Rules Text</v>
      </c>
      <c r="M99" s="147"/>
      <c r="N99" s="147"/>
      <c r="O99" s="147"/>
      <c r="P99" s="147"/>
      <c r="Q99" s="147"/>
      <c r="R99" s="147"/>
      <c r="S99" s="147"/>
      <c r="T99" s="147"/>
      <c r="U99" s="147"/>
      <c r="V99" s="147"/>
      <c r="W99" s="147"/>
      <c r="X99" s="147"/>
    </row>
    <row r="100" spans="1:24" ht="13" x14ac:dyDescent="0.15">
      <c r="A100" s="146">
        <v>1</v>
      </c>
      <c r="B100" s="149" t="s">
        <v>2</v>
      </c>
      <c r="C100" s="147"/>
      <c r="D100" s="147"/>
      <c r="E100" s="147"/>
      <c r="F100" s="147"/>
      <c r="G100" s="41" t="str">
        <f ca="1">IFERROR(OFFSET(Abilities!$N$1,MATCH(B100,Abilities!C:C,0)-1,A100),0)</f>
        <v>R1</v>
      </c>
      <c r="J100" s="41" t="str">
        <f ca="1">OFFSET(Abilities!$N$1,MATCH(B100,Abilities!C:C,0)-1,-7)</f>
        <v>Affinity req</v>
      </c>
      <c r="K100" s="1" t="str">
        <f ca="1">OFFSET(Abilities!$N$1,MATCH(B100,Abilities!C:C,0)-1,-12)</f>
        <v>Category</v>
      </c>
      <c r="L100" s="148" t="str">
        <f ca="1">OFFSET(Abilities!$N$1,MATCH(B100,Abilities!C:C,0)-1,-9)</f>
        <v>Rules Text</v>
      </c>
      <c r="M100" s="147"/>
      <c r="N100" s="147"/>
      <c r="O100" s="147"/>
      <c r="P100" s="147"/>
      <c r="Q100" s="147"/>
      <c r="R100" s="147"/>
      <c r="S100" s="147"/>
      <c r="T100" s="147"/>
      <c r="U100" s="147"/>
      <c r="V100" s="147"/>
      <c r="W100" s="147"/>
      <c r="X100" s="147"/>
    </row>
    <row r="101" spans="1:24" ht="13" x14ac:dyDescent="0.15">
      <c r="A101" s="146">
        <v>1</v>
      </c>
      <c r="B101" s="149" t="s">
        <v>2</v>
      </c>
      <c r="C101" s="147"/>
      <c r="D101" s="147"/>
      <c r="E101" s="147"/>
      <c r="F101" s="147"/>
      <c r="G101" s="41" t="str">
        <f ca="1">IFERROR(OFFSET(Abilities!$N$1,MATCH(B101,Abilities!C:C,0)-1,A101),0)</f>
        <v>R1</v>
      </c>
      <c r="J101" s="41" t="str">
        <f ca="1">OFFSET(Abilities!$N$1,MATCH(B101,Abilities!C:C,0)-1,-7)</f>
        <v>Affinity req</v>
      </c>
      <c r="K101" s="1" t="str">
        <f ca="1">OFFSET(Abilities!$N$1,MATCH(B101,Abilities!C:C,0)-1,-12)</f>
        <v>Category</v>
      </c>
      <c r="L101" s="148" t="str">
        <f ca="1">OFFSET(Abilities!$N$1,MATCH(B101,Abilities!C:C,0)-1,-9)</f>
        <v>Rules Text</v>
      </c>
      <c r="M101" s="147"/>
      <c r="N101" s="147"/>
      <c r="O101" s="147"/>
      <c r="P101" s="147"/>
      <c r="Q101" s="147"/>
      <c r="R101" s="147"/>
      <c r="S101" s="147"/>
      <c r="T101" s="147"/>
      <c r="U101" s="147"/>
      <c r="V101" s="147"/>
      <c r="W101" s="147"/>
      <c r="X101" s="147"/>
    </row>
    <row r="102" spans="1:24" ht="13" x14ac:dyDescent="0.15">
      <c r="A102" s="146">
        <v>1</v>
      </c>
      <c r="B102" s="149" t="s">
        <v>2</v>
      </c>
      <c r="C102" s="147"/>
      <c r="D102" s="147"/>
      <c r="E102" s="147"/>
      <c r="F102" s="147"/>
      <c r="G102" s="41" t="str">
        <f ca="1">IFERROR(OFFSET(Abilities!$N$1,MATCH(B102,Abilities!C:C,0)-1,A102),0)</f>
        <v>R1</v>
      </c>
      <c r="J102" s="41" t="str">
        <f ca="1">OFFSET(Abilities!$N$1,MATCH(B102,Abilities!C:C,0)-1,-7)</f>
        <v>Affinity req</v>
      </c>
      <c r="K102" s="1" t="str">
        <f ca="1">OFFSET(Abilities!$N$1,MATCH(B102,Abilities!C:C,0)-1,-12)</f>
        <v>Category</v>
      </c>
      <c r="L102" s="148" t="str">
        <f ca="1">OFFSET(Abilities!$N$1,MATCH(B102,Abilities!C:C,0)-1,-9)</f>
        <v>Rules Text</v>
      </c>
      <c r="M102" s="147"/>
      <c r="N102" s="147"/>
      <c r="O102" s="147"/>
      <c r="P102" s="147"/>
      <c r="Q102" s="147"/>
      <c r="R102" s="147"/>
      <c r="S102" s="147"/>
      <c r="T102" s="147"/>
      <c r="U102" s="147"/>
      <c r="V102" s="147"/>
      <c r="W102" s="147"/>
      <c r="X102" s="147"/>
    </row>
    <row r="103" spans="1:24" ht="13" x14ac:dyDescent="0.15">
      <c r="A103" s="146">
        <v>1</v>
      </c>
      <c r="B103" s="149" t="s">
        <v>2</v>
      </c>
      <c r="C103" s="147"/>
      <c r="D103" s="147"/>
      <c r="E103" s="147"/>
      <c r="F103" s="147"/>
      <c r="G103" s="41" t="str">
        <f ca="1">IFERROR(OFFSET(Abilities!$N$1,MATCH(B103,Abilities!C:C,0)-1,A103),0)</f>
        <v>R1</v>
      </c>
      <c r="J103" s="41" t="str">
        <f ca="1">OFFSET(Abilities!$N$1,MATCH(B103,Abilities!C:C,0)-1,-7)</f>
        <v>Affinity req</v>
      </c>
      <c r="K103" s="1" t="str">
        <f ca="1">OFFSET(Abilities!$N$1,MATCH(B103,Abilities!C:C,0)-1,-12)</f>
        <v>Category</v>
      </c>
      <c r="L103" s="148" t="str">
        <f ca="1">OFFSET(Abilities!$N$1,MATCH(B103,Abilities!C:C,0)-1,-9)</f>
        <v>Rules Text</v>
      </c>
      <c r="M103" s="147"/>
      <c r="N103" s="147"/>
      <c r="O103" s="147"/>
      <c r="P103" s="147"/>
      <c r="Q103" s="147"/>
      <c r="R103" s="147"/>
      <c r="S103" s="147"/>
      <c r="T103" s="147"/>
      <c r="U103" s="147"/>
      <c r="V103" s="147"/>
      <c r="W103" s="147"/>
      <c r="X103" s="147"/>
    </row>
    <row r="104" spans="1:24" ht="13" x14ac:dyDescent="0.15">
      <c r="A104" s="146">
        <v>1</v>
      </c>
      <c r="B104" s="149" t="s">
        <v>2</v>
      </c>
      <c r="C104" s="147"/>
      <c r="D104" s="147"/>
      <c r="E104" s="147"/>
      <c r="F104" s="147"/>
      <c r="G104" s="41" t="str">
        <f ca="1">IFERROR(OFFSET(Abilities!$N$1,MATCH(B104,Abilities!C:C,0)-1,A104),0)</f>
        <v>R1</v>
      </c>
      <c r="J104" s="41" t="str">
        <f ca="1">OFFSET(Abilities!$N$1,MATCH(B104,Abilities!C:C,0)-1,-7)</f>
        <v>Affinity req</v>
      </c>
      <c r="K104" s="1" t="str">
        <f ca="1">OFFSET(Abilities!$N$1,MATCH(B104,Abilities!C:C,0)-1,-12)</f>
        <v>Category</v>
      </c>
      <c r="L104" s="148" t="str">
        <f ca="1">OFFSET(Abilities!$N$1,MATCH(B104,Abilities!C:C,0)-1,-9)</f>
        <v>Rules Text</v>
      </c>
      <c r="M104" s="147"/>
      <c r="N104" s="147"/>
      <c r="O104" s="147"/>
      <c r="P104" s="147"/>
      <c r="Q104" s="147"/>
      <c r="R104" s="147"/>
      <c r="S104" s="147"/>
      <c r="T104" s="147"/>
      <c r="U104" s="147"/>
      <c r="V104" s="147"/>
      <c r="W104" s="147"/>
      <c r="X104" s="147"/>
    </row>
    <row r="105" spans="1:24" ht="13" x14ac:dyDescent="0.15">
      <c r="A105" s="146">
        <v>1</v>
      </c>
      <c r="B105" s="149" t="s">
        <v>2</v>
      </c>
      <c r="C105" s="147"/>
      <c r="D105" s="147"/>
      <c r="E105" s="147"/>
      <c r="F105" s="147"/>
      <c r="G105" s="41" t="str">
        <f ca="1">IFERROR(OFFSET(Abilities!$N$1,MATCH(B105,Abilities!C:C,0)-1,A105),0)</f>
        <v>R1</v>
      </c>
      <c r="J105" s="41" t="str">
        <f ca="1">OFFSET(Abilities!$N$1,MATCH(B105,Abilities!C:C,0)-1,-7)</f>
        <v>Affinity req</v>
      </c>
      <c r="K105" s="1" t="str">
        <f ca="1">OFFSET(Abilities!$N$1,MATCH(B105,Abilities!C:C,0)-1,-12)</f>
        <v>Category</v>
      </c>
      <c r="L105" s="148" t="str">
        <f ca="1">OFFSET(Abilities!$N$1,MATCH(B105,Abilities!C:C,0)-1,-9)</f>
        <v>Rules Text</v>
      </c>
      <c r="M105" s="147"/>
      <c r="N105" s="147"/>
      <c r="O105" s="147"/>
      <c r="P105" s="147"/>
      <c r="Q105" s="147"/>
      <c r="R105" s="147"/>
      <c r="S105" s="147"/>
      <c r="T105" s="147"/>
      <c r="U105" s="147"/>
      <c r="V105" s="147"/>
      <c r="W105" s="147"/>
      <c r="X105" s="147"/>
    </row>
    <row r="106" spans="1:24" ht="13" x14ac:dyDescent="0.15">
      <c r="A106" s="146">
        <v>1</v>
      </c>
      <c r="B106" s="149" t="s">
        <v>2</v>
      </c>
      <c r="C106" s="147"/>
      <c r="D106" s="147"/>
      <c r="E106" s="147"/>
      <c r="F106" s="147"/>
      <c r="G106" s="41" t="str">
        <f ca="1">IFERROR(OFFSET(Abilities!$N$1,MATCH(B106,Abilities!C:C,0)-1,A106),0)</f>
        <v>R1</v>
      </c>
      <c r="J106" s="41" t="str">
        <f ca="1">OFFSET(Abilities!$N$1,MATCH(B106,Abilities!C:C,0)-1,-7)</f>
        <v>Affinity req</v>
      </c>
      <c r="K106" s="1" t="str">
        <f ca="1">OFFSET(Abilities!$N$1,MATCH(B106,Abilities!C:C,0)-1,-12)</f>
        <v>Category</v>
      </c>
      <c r="L106" s="148" t="str">
        <f ca="1">OFFSET(Abilities!$N$1,MATCH(B106,Abilities!C:C,0)-1,-9)</f>
        <v>Rules Text</v>
      </c>
      <c r="M106" s="147"/>
      <c r="N106" s="147"/>
      <c r="O106" s="147"/>
      <c r="P106" s="147"/>
      <c r="Q106" s="147"/>
      <c r="R106" s="147"/>
      <c r="S106" s="147"/>
      <c r="T106" s="147"/>
      <c r="U106" s="147"/>
      <c r="V106" s="147"/>
      <c r="W106" s="147"/>
      <c r="X106" s="147"/>
    </row>
    <row r="107" spans="1:24" ht="13" x14ac:dyDescent="0.15">
      <c r="A107" s="146">
        <v>1</v>
      </c>
      <c r="B107" s="149" t="s">
        <v>2</v>
      </c>
      <c r="C107" s="147"/>
      <c r="D107" s="147"/>
      <c r="E107" s="147"/>
      <c r="F107" s="147"/>
      <c r="G107" s="41" t="str">
        <f ca="1">IFERROR(OFFSET(Abilities!$N$1,MATCH(B107,Abilities!C:C,0)-1,A107),0)</f>
        <v>R1</v>
      </c>
      <c r="J107" s="41" t="str">
        <f ca="1">OFFSET(Abilities!$N$1,MATCH(B107,Abilities!C:C,0)-1,-7)</f>
        <v>Affinity req</v>
      </c>
      <c r="K107" s="1" t="str">
        <f ca="1">OFFSET(Abilities!$N$1,MATCH(B107,Abilities!C:C,0)-1,-12)</f>
        <v>Category</v>
      </c>
      <c r="L107" s="148" t="str">
        <f ca="1">OFFSET(Abilities!$N$1,MATCH(B107,Abilities!C:C,0)-1,-9)</f>
        <v>Rules Text</v>
      </c>
      <c r="M107" s="147"/>
      <c r="N107" s="147"/>
      <c r="O107" s="147"/>
      <c r="P107" s="147"/>
      <c r="Q107" s="147"/>
      <c r="R107" s="147"/>
      <c r="S107" s="147"/>
      <c r="T107" s="147"/>
      <c r="U107" s="147"/>
      <c r="V107" s="147"/>
      <c r="W107" s="147"/>
      <c r="X107" s="147"/>
    </row>
    <row r="108" spans="1:24" ht="13" x14ac:dyDescent="0.15">
      <c r="A108" s="146">
        <v>1</v>
      </c>
      <c r="B108" s="149" t="s">
        <v>2</v>
      </c>
      <c r="C108" s="147"/>
      <c r="D108" s="147"/>
      <c r="E108" s="147"/>
      <c r="F108" s="147"/>
      <c r="G108" s="41" t="str">
        <f ca="1">IFERROR(OFFSET(Abilities!$N$1,MATCH(B108,Abilities!C:C,0)-1,A108),0)</f>
        <v>R1</v>
      </c>
      <c r="J108" s="41" t="str">
        <f ca="1">OFFSET(Abilities!$N$1,MATCH(B108,Abilities!C:C,0)-1,-7)</f>
        <v>Affinity req</v>
      </c>
      <c r="K108" s="1" t="str">
        <f ca="1">OFFSET(Abilities!$N$1,MATCH(B108,Abilities!C:C,0)-1,-12)</f>
        <v>Category</v>
      </c>
      <c r="L108" s="148" t="str">
        <f ca="1">OFFSET(Abilities!$N$1,MATCH(B108,Abilities!C:C,0)-1,-9)</f>
        <v>Rules Text</v>
      </c>
      <c r="M108" s="147"/>
      <c r="N108" s="147"/>
      <c r="O108" s="147"/>
      <c r="P108" s="147"/>
      <c r="Q108" s="147"/>
      <c r="R108" s="147"/>
      <c r="S108" s="147"/>
      <c r="T108" s="147"/>
      <c r="U108" s="147"/>
      <c r="V108" s="147"/>
      <c r="W108" s="147"/>
      <c r="X108" s="147"/>
    </row>
    <row r="109" spans="1:24" ht="13" x14ac:dyDescent="0.15">
      <c r="A109" s="146">
        <v>1</v>
      </c>
      <c r="B109" s="149" t="s">
        <v>2</v>
      </c>
      <c r="C109" s="147"/>
      <c r="D109" s="147"/>
      <c r="E109" s="147"/>
      <c r="F109" s="147"/>
      <c r="G109" s="41" t="str">
        <f ca="1">IFERROR(OFFSET(Abilities!$N$1,MATCH(B109,Abilities!C:C,0)-1,A109),0)</f>
        <v>R1</v>
      </c>
      <c r="J109" s="41" t="str">
        <f ca="1">OFFSET(Abilities!$N$1,MATCH(B109,Abilities!C:C,0)-1,-7)</f>
        <v>Affinity req</v>
      </c>
      <c r="K109" s="1" t="str">
        <f ca="1">OFFSET(Abilities!$N$1,MATCH(B109,Abilities!C:C,0)-1,-12)</f>
        <v>Category</v>
      </c>
      <c r="L109" s="148" t="str">
        <f ca="1">OFFSET(Abilities!$N$1,MATCH(B109,Abilities!C:C,0)-1,-9)</f>
        <v>Rules Text</v>
      </c>
      <c r="M109" s="147"/>
      <c r="N109" s="147"/>
      <c r="O109" s="147"/>
      <c r="P109" s="147"/>
      <c r="Q109" s="147"/>
      <c r="R109" s="147"/>
      <c r="S109" s="147"/>
      <c r="T109" s="147"/>
      <c r="U109" s="147"/>
      <c r="V109" s="147"/>
      <c r="W109" s="147"/>
      <c r="X109" s="147"/>
    </row>
    <row r="110" spans="1:24" ht="13" x14ac:dyDescent="0.15">
      <c r="A110" s="146">
        <v>1</v>
      </c>
      <c r="B110" s="149" t="s">
        <v>2</v>
      </c>
      <c r="C110" s="147"/>
      <c r="D110" s="147"/>
      <c r="E110" s="147"/>
      <c r="F110" s="147"/>
      <c r="G110" s="41" t="str">
        <f ca="1">IFERROR(OFFSET(Abilities!$N$1,MATCH(B110,Abilities!C:C,0)-1,A110),0)</f>
        <v>R1</v>
      </c>
      <c r="J110" s="41" t="str">
        <f ca="1">OFFSET(Abilities!$N$1,MATCH(B110,Abilities!C:C,0)-1,-7)</f>
        <v>Affinity req</v>
      </c>
      <c r="K110" s="1" t="str">
        <f ca="1">OFFSET(Abilities!$N$1,MATCH(B110,Abilities!C:C,0)-1,-12)</f>
        <v>Category</v>
      </c>
      <c r="L110" s="148" t="str">
        <f ca="1">OFFSET(Abilities!$N$1,MATCH(B110,Abilities!C:C,0)-1,-9)</f>
        <v>Rules Text</v>
      </c>
      <c r="M110" s="147"/>
      <c r="N110" s="147"/>
      <c r="O110" s="147"/>
      <c r="P110" s="147"/>
      <c r="Q110" s="147"/>
      <c r="R110" s="147"/>
      <c r="S110" s="147"/>
      <c r="T110" s="147"/>
      <c r="U110" s="147"/>
      <c r="V110" s="147"/>
      <c r="W110" s="147"/>
      <c r="X110" s="147"/>
    </row>
    <row r="111" spans="1:24" ht="13" x14ac:dyDescent="0.15">
      <c r="A111" s="146">
        <v>1</v>
      </c>
      <c r="B111" s="149" t="s">
        <v>2</v>
      </c>
      <c r="C111" s="147"/>
      <c r="D111" s="147"/>
      <c r="E111" s="147"/>
      <c r="F111" s="147"/>
      <c r="G111" s="41" t="str">
        <f ca="1">IFERROR(OFFSET(Abilities!$N$1,MATCH(B111,Abilities!C:C,0)-1,A111),0)</f>
        <v>R1</v>
      </c>
      <c r="J111" s="41" t="str">
        <f ca="1">OFFSET(Abilities!$N$1,MATCH(B111,Abilities!C:C,0)-1,-7)</f>
        <v>Affinity req</v>
      </c>
      <c r="K111" s="1" t="str">
        <f ca="1">OFFSET(Abilities!$N$1,MATCH(B111,Abilities!C:C,0)-1,-12)</f>
        <v>Category</v>
      </c>
      <c r="L111" s="148" t="str">
        <f ca="1">OFFSET(Abilities!$N$1,MATCH(B111,Abilities!C:C,0)-1,-9)</f>
        <v>Rules Text</v>
      </c>
      <c r="M111" s="147"/>
      <c r="N111" s="147"/>
      <c r="O111" s="147"/>
      <c r="P111" s="147"/>
      <c r="Q111" s="147"/>
      <c r="R111" s="147"/>
      <c r="S111" s="147"/>
      <c r="T111" s="147"/>
      <c r="U111" s="147"/>
      <c r="V111" s="147"/>
      <c r="W111" s="147"/>
      <c r="X111" s="147"/>
    </row>
    <row r="112" spans="1:24" ht="13" x14ac:dyDescent="0.15">
      <c r="A112" s="146">
        <v>1</v>
      </c>
      <c r="B112" s="149" t="s">
        <v>2</v>
      </c>
      <c r="C112" s="147"/>
      <c r="D112" s="147"/>
      <c r="E112" s="147"/>
      <c r="F112" s="147"/>
      <c r="G112" s="41" t="str">
        <f ca="1">IFERROR(OFFSET(Abilities!$N$1,MATCH(B112,Abilities!C:C,0)-1,A112),0)</f>
        <v>R1</v>
      </c>
      <c r="J112" s="41" t="str">
        <f ca="1">OFFSET(Abilities!$N$1,MATCH(B112,Abilities!C:C,0)-1,-7)</f>
        <v>Affinity req</v>
      </c>
      <c r="K112" s="1" t="str">
        <f ca="1">OFFSET(Abilities!$N$1,MATCH(B112,Abilities!C:C,0)-1,-12)</f>
        <v>Category</v>
      </c>
      <c r="L112" s="148" t="str">
        <f ca="1">OFFSET(Abilities!$N$1,MATCH(B112,Abilities!C:C,0)-1,-9)</f>
        <v>Rules Text</v>
      </c>
      <c r="M112" s="147"/>
      <c r="N112" s="147"/>
      <c r="O112" s="147"/>
      <c r="P112" s="147"/>
      <c r="Q112" s="147"/>
      <c r="R112" s="147"/>
      <c r="S112" s="147"/>
      <c r="T112" s="147"/>
      <c r="U112" s="147"/>
      <c r="V112" s="147"/>
      <c r="W112" s="147"/>
      <c r="X112" s="147"/>
    </row>
    <row r="113" spans="1:24" ht="13" x14ac:dyDescent="0.15">
      <c r="A113" s="146">
        <v>1</v>
      </c>
      <c r="B113" s="149" t="s">
        <v>2</v>
      </c>
      <c r="C113" s="147"/>
      <c r="D113" s="147"/>
      <c r="E113" s="147"/>
      <c r="F113" s="147"/>
      <c r="G113" s="41" t="str">
        <f ca="1">IFERROR(OFFSET(Abilities!$N$1,MATCH(B113,Abilities!C:C,0)-1,A113),0)</f>
        <v>R1</v>
      </c>
      <c r="J113" s="41" t="str">
        <f ca="1">OFFSET(Abilities!$N$1,MATCH(B113,Abilities!C:C,0)-1,-7)</f>
        <v>Affinity req</v>
      </c>
      <c r="K113" s="1" t="str">
        <f ca="1">OFFSET(Abilities!$N$1,MATCH(B113,Abilities!C:C,0)-1,-12)</f>
        <v>Category</v>
      </c>
      <c r="L113" s="148" t="str">
        <f ca="1">OFFSET(Abilities!$N$1,MATCH(B113,Abilities!C:C,0)-1,-9)</f>
        <v>Rules Text</v>
      </c>
      <c r="M113" s="147"/>
      <c r="N113" s="147"/>
      <c r="O113" s="147"/>
      <c r="P113" s="147"/>
      <c r="Q113" s="147"/>
      <c r="R113" s="147"/>
      <c r="S113" s="147"/>
      <c r="T113" s="147"/>
      <c r="U113" s="147"/>
      <c r="V113" s="147"/>
      <c r="W113" s="147"/>
      <c r="X113" s="147"/>
    </row>
    <row r="114" spans="1:24" ht="13" x14ac:dyDescent="0.15">
      <c r="A114" s="146">
        <v>1</v>
      </c>
      <c r="B114" s="149" t="s">
        <v>2</v>
      </c>
      <c r="C114" s="147"/>
      <c r="D114" s="147"/>
      <c r="E114" s="147"/>
      <c r="F114" s="147"/>
      <c r="G114" s="41" t="str">
        <f ca="1">IFERROR(OFFSET(Abilities!$N$1,MATCH(B114,Abilities!C:C,0)-1,A114),0)</f>
        <v>R1</v>
      </c>
      <c r="J114" s="41" t="str">
        <f ca="1">OFFSET(Abilities!$N$1,MATCH(B114,Abilities!C:C,0)-1,-7)</f>
        <v>Affinity req</v>
      </c>
      <c r="K114" s="1" t="str">
        <f ca="1">OFFSET(Abilities!$N$1,MATCH(B114,Abilities!C:C,0)-1,-12)</f>
        <v>Category</v>
      </c>
      <c r="L114" s="148" t="str">
        <f ca="1">OFFSET(Abilities!$N$1,MATCH(B114,Abilities!C:C,0)-1,-9)</f>
        <v>Rules Text</v>
      </c>
      <c r="M114" s="147"/>
      <c r="N114" s="147"/>
      <c r="O114" s="147"/>
      <c r="P114" s="147"/>
      <c r="Q114" s="147"/>
      <c r="R114" s="147"/>
      <c r="S114" s="147"/>
      <c r="T114" s="147"/>
      <c r="U114" s="147"/>
      <c r="V114" s="147"/>
      <c r="W114" s="147"/>
      <c r="X114" s="147"/>
    </row>
    <row r="115" spans="1:24" ht="13" x14ac:dyDescent="0.15">
      <c r="A115" s="146">
        <v>1</v>
      </c>
      <c r="B115" s="149" t="s">
        <v>2</v>
      </c>
      <c r="C115" s="147"/>
      <c r="D115" s="147"/>
      <c r="E115" s="147"/>
      <c r="F115" s="147"/>
      <c r="G115" s="41" t="str">
        <f ca="1">IFERROR(OFFSET(Abilities!$N$1,MATCH(B115,Abilities!C:C,0)-1,A115),0)</f>
        <v>R1</v>
      </c>
      <c r="J115" s="41" t="str">
        <f ca="1">OFFSET(Abilities!$N$1,MATCH(B115,Abilities!C:C,0)-1,-7)</f>
        <v>Affinity req</v>
      </c>
      <c r="K115" s="1" t="str">
        <f ca="1">OFFSET(Abilities!$N$1,MATCH(B115,Abilities!C:C,0)-1,-12)</f>
        <v>Category</v>
      </c>
      <c r="L115" s="148" t="str">
        <f ca="1">OFFSET(Abilities!$N$1,MATCH(B115,Abilities!C:C,0)-1,-9)</f>
        <v>Rules Text</v>
      </c>
      <c r="M115" s="147"/>
      <c r="N115" s="147"/>
      <c r="O115" s="147"/>
      <c r="P115" s="147"/>
      <c r="Q115" s="147"/>
      <c r="R115" s="147"/>
      <c r="S115" s="147"/>
      <c r="T115" s="147"/>
      <c r="U115" s="147"/>
      <c r="V115" s="147"/>
      <c r="W115" s="147"/>
      <c r="X115" s="147"/>
    </row>
    <row r="116" spans="1:24" ht="13" x14ac:dyDescent="0.15">
      <c r="A116" s="146">
        <v>1</v>
      </c>
      <c r="B116" s="149" t="s">
        <v>2</v>
      </c>
      <c r="C116" s="147"/>
      <c r="D116" s="147"/>
      <c r="E116" s="147"/>
      <c r="F116" s="147"/>
      <c r="G116" s="41" t="str">
        <f ca="1">IFERROR(OFFSET(Abilities!$N$1,MATCH(B116,Abilities!C:C,0)-1,A116),0)</f>
        <v>R1</v>
      </c>
      <c r="J116" s="41" t="str">
        <f ca="1">OFFSET(Abilities!$N$1,MATCH(B116,Abilities!C:C,0)-1,-7)</f>
        <v>Affinity req</v>
      </c>
      <c r="K116" s="1" t="str">
        <f ca="1">OFFSET(Abilities!$N$1,MATCH(B116,Abilities!C:C,0)-1,-12)</f>
        <v>Category</v>
      </c>
      <c r="L116" s="148" t="str">
        <f ca="1">OFFSET(Abilities!$N$1,MATCH(B116,Abilities!C:C,0)-1,-9)</f>
        <v>Rules Text</v>
      </c>
      <c r="M116" s="147"/>
      <c r="N116" s="147"/>
      <c r="O116" s="147"/>
      <c r="P116" s="147"/>
      <c r="Q116" s="147"/>
      <c r="R116" s="147"/>
      <c r="S116" s="147"/>
      <c r="T116" s="147"/>
      <c r="U116" s="147"/>
      <c r="V116" s="147"/>
      <c r="W116" s="147"/>
      <c r="X116" s="147"/>
    </row>
    <row r="117" spans="1:24" ht="13" x14ac:dyDescent="0.15">
      <c r="A117" s="146">
        <v>1</v>
      </c>
      <c r="B117" s="149" t="s">
        <v>2</v>
      </c>
      <c r="C117" s="147"/>
      <c r="D117" s="147"/>
      <c r="E117" s="147"/>
      <c r="F117" s="147"/>
      <c r="G117" s="41" t="str">
        <f ca="1">IFERROR(OFFSET(Abilities!$N$1,MATCH(B117,Abilities!C:C,0)-1,A117),0)</f>
        <v>R1</v>
      </c>
      <c r="J117" s="41" t="str">
        <f ca="1">OFFSET(Abilities!$N$1,MATCH(B117,Abilities!C:C,0)-1,-7)</f>
        <v>Affinity req</v>
      </c>
      <c r="K117" s="1" t="str">
        <f ca="1">OFFSET(Abilities!$N$1,MATCH(B117,Abilities!C:C,0)-1,-12)</f>
        <v>Category</v>
      </c>
      <c r="L117" s="148" t="str">
        <f ca="1">OFFSET(Abilities!$N$1,MATCH(B117,Abilities!C:C,0)-1,-9)</f>
        <v>Rules Text</v>
      </c>
      <c r="M117" s="147"/>
      <c r="N117" s="147"/>
      <c r="O117" s="147"/>
      <c r="P117" s="147"/>
      <c r="Q117" s="147"/>
      <c r="R117" s="147"/>
      <c r="S117" s="147"/>
      <c r="T117" s="147"/>
      <c r="U117" s="147"/>
      <c r="V117" s="147"/>
      <c r="W117" s="147"/>
      <c r="X117" s="147"/>
    </row>
    <row r="118" spans="1:24" ht="13" x14ac:dyDescent="0.15">
      <c r="A118" s="146">
        <v>1</v>
      </c>
      <c r="B118" s="149" t="s">
        <v>2</v>
      </c>
      <c r="C118" s="147"/>
      <c r="D118" s="147"/>
      <c r="E118" s="147"/>
      <c r="F118" s="147"/>
      <c r="G118" s="41" t="str">
        <f ca="1">IFERROR(OFFSET(Abilities!$N$1,MATCH(B118,Abilities!C:C,0)-1,A118),0)</f>
        <v>R1</v>
      </c>
      <c r="J118" s="41" t="str">
        <f ca="1">OFFSET(Abilities!$N$1,MATCH(B118,Abilities!C:C,0)-1,-7)</f>
        <v>Affinity req</v>
      </c>
      <c r="K118" s="1" t="str">
        <f ca="1">OFFSET(Abilities!$N$1,MATCH(B118,Abilities!C:C,0)-1,-12)</f>
        <v>Category</v>
      </c>
      <c r="L118" s="148" t="str">
        <f ca="1">OFFSET(Abilities!$N$1,MATCH(B118,Abilities!C:C,0)-1,-9)</f>
        <v>Rules Text</v>
      </c>
      <c r="M118" s="147"/>
      <c r="N118" s="147"/>
      <c r="O118" s="147"/>
      <c r="P118" s="147"/>
      <c r="Q118" s="147"/>
      <c r="R118" s="147"/>
      <c r="S118" s="147"/>
      <c r="T118" s="147"/>
      <c r="U118" s="147"/>
      <c r="V118" s="147"/>
      <c r="W118" s="147"/>
      <c r="X118" s="147"/>
    </row>
    <row r="119" spans="1:24" ht="13" x14ac:dyDescent="0.15">
      <c r="A119" s="146">
        <v>1</v>
      </c>
      <c r="B119" s="149" t="s">
        <v>2</v>
      </c>
      <c r="C119" s="147"/>
      <c r="D119" s="147"/>
      <c r="E119" s="147"/>
      <c r="F119" s="147"/>
      <c r="G119" s="41" t="str">
        <f ca="1">IFERROR(OFFSET(Abilities!$N$1,MATCH(B119,Abilities!C:C,0)-1,A119),0)</f>
        <v>R1</v>
      </c>
      <c r="J119" s="41" t="str">
        <f ca="1">OFFSET(Abilities!$N$1,MATCH(B119,Abilities!C:C,0)-1,-7)</f>
        <v>Affinity req</v>
      </c>
      <c r="K119" s="1" t="str">
        <f ca="1">OFFSET(Abilities!$N$1,MATCH(B119,Abilities!C:C,0)-1,-12)</f>
        <v>Category</v>
      </c>
      <c r="L119" s="148" t="str">
        <f ca="1">OFFSET(Abilities!$N$1,MATCH(B119,Abilities!C:C,0)-1,-9)</f>
        <v>Rules Text</v>
      </c>
      <c r="M119" s="147"/>
      <c r="N119" s="147"/>
      <c r="O119" s="147"/>
      <c r="P119" s="147"/>
      <c r="Q119" s="147"/>
      <c r="R119" s="147"/>
      <c r="S119" s="147"/>
      <c r="T119" s="147"/>
      <c r="U119" s="147"/>
      <c r="V119" s="147"/>
      <c r="W119" s="147"/>
      <c r="X119" s="147"/>
    </row>
    <row r="120" spans="1:24" ht="13" x14ac:dyDescent="0.15">
      <c r="A120" s="146">
        <v>1</v>
      </c>
      <c r="B120" s="149" t="s">
        <v>2</v>
      </c>
      <c r="C120" s="147"/>
      <c r="D120" s="147"/>
      <c r="E120" s="147"/>
      <c r="F120" s="147"/>
      <c r="G120" s="41" t="str">
        <f ca="1">IFERROR(OFFSET(Abilities!$N$1,MATCH(B120,Abilities!C:C,0)-1,A120),0)</f>
        <v>R1</v>
      </c>
      <c r="J120" s="41" t="str">
        <f ca="1">OFFSET(Abilities!$N$1,MATCH(B120,Abilities!C:C,0)-1,-7)</f>
        <v>Affinity req</v>
      </c>
      <c r="K120" s="1" t="str">
        <f ca="1">OFFSET(Abilities!$N$1,MATCH(B120,Abilities!C:C,0)-1,-12)</f>
        <v>Category</v>
      </c>
      <c r="L120" s="148" t="str">
        <f ca="1">OFFSET(Abilities!$N$1,MATCH(B120,Abilities!C:C,0)-1,-9)</f>
        <v>Rules Text</v>
      </c>
      <c r="M120" s="147"/>
      <c r="N120" s="147"/>
      <c r="O120" s="147"/>
      <c r="P120" s="147"/>
      <c r="Q120" s="147"/>
      <c r="R120" s="147"/>
      <c r="S120" s="147"/>
      <c r="T120" s="147"/>
      <c r="U120" s="147"/>
      <c r="V120" s="147"/>
      <c r="W120" s="147"/>
      <c r="X120" s="147"/>
    </row>
    <row r="121" spans="1:24" ht="13" x14ac:dyDescent="0.15">
      <c r="A121" s="146">
        <v>1</v>
      </c>
      <c r="B121" s="149" t="s">
        <v>2</v>
      </c>
      <c r="C121" s="147"/>
      <c r="D121" s="147"/>
      <c r="E121" s="147"/>
      <c r="F121" s="147"/>
      <c r="G121" s="41" t="str">
        <f ca="1">IFERROR(OFFSET(Abilities!$N$1,MATCH(B121,Abilities!C:C,0)-1,A121),0)</f>
        <v>R1</v>
      </c>
      <c r="J121" s="41" t="str">
        <f ca="1">OFFSET(Abilities!$N$1,MATCH(B121,Abilities!C:C,0)-1,-7)</f>
        <v>Affinity req</v>
      </c>
      <c r="K121" s="1" t="str">
        <f ca="1">OFFSET(Abilities!$N$1,MATCH(B121,Abilities!C:C,0)-1,-12)</f>
        <v>Category</v>
      </c>
      <c r="L121" s="148" t="str">
        <f ca="1">OFFSET(Abilities!$N$1,MATCH(B121,Abilities!C:C,0)-1,-9)</f>
        <v>Rules Text</v>
      </c>
      <c r="M121" s="147"/>
      <c r="N121" s="147"/>
      <c r="O121" s="147"/>
      <c r="P121" s="147"/>
      <c r="Q121" s="147"/>
      <c r="R121" s="147"/>
      <c r="S121" s="147"/>
      <c r="T121" s="147"/>
      <c r="U121" s="147"/>
      <c r="V121" s="147"/>
      <c r="W121" s="147"/>
      <c r="X121" s="147"/>
    </row>
    <row r="122" spans="1:24" ht="13" x14ac:dyDescent="0.15">
      <c r="A122" s="146">
        <v>1</v>
      </c>
      <c r="B122" s="149" t="s">
        <v>2</v>
      </c>
      <c r="C122" s="147"/>
      <c r="D122" s="147"/>
      <c r="E122" s="147"/>
      <c r="F122" s="147"/>
      <c r="G122" s="41" t="str">
        <f ca="1">IFERROR(OFFSET(Abilities!$N$1,MATCH(B122,Abilities!C:C,0)-1,A122),0)</f>
        <v>R1</v>
      </c>
      <c r="J122" s="41" t="str">
        <f ca="1">OFFSET(Abilities!$N$1,MATCH(B122,Abilities!C:C,0)-1,-7)</f>
        <v>Affinity req</v>
      </c>
      <c r="K122" s="1" t="str">
        <f ca="1">OFFSET(Abilities!$N$1,MATCH(B122,Abilities!C:C,0)-1,-12)</f>
        <v>Category</v>
      </c>
      <c r="L122" s="148" t="str">
        <f ca="1">OFFSET(Abilities!$N$1,MATCH(B122,Abilities!C:C,0)-1,-9)</f>
        <v>Rules Text</v>
      </c>
      <c r="M122" s="147"/>
      <c r="N122" s="147"/>
      <c r="O122" s="147"/>
      <c r="P122" s="147"/>
      <c r="Q122" s="147"/>
      <c r="R122" s="147"/>
      <c r="S122" s="147"/>
      <c r="T122" s="147"/>
      <c r="U122" s="147"/>
      <c r="V122" s="147"/>
      <c r="W122" s="147"/>
      <c r="X122" s="147"/>
    </row>
    <row r="123" spans="1:24" ht="13" x14ac:dyDescent="0.15">
      <c r="A123" s="146">
        <v>1</v>
      </c>
      <c r="B123" s="149" t="s">
        <v>2</v>
      </c>
      <c r="C123" s="147"/>
      <c r="D123" s="147"/>
      <c r="E123" s="147"/>
      <c r="F123" s="147"/>
      <c r="G123" s="41" t="str">
        <f ca="1">IFERROR(OFFSET(Abilities!$N$1,MATCH(B123,Abilities!C:C,0)-1,A123),0)</f>
        <v>R1</v>
      </c>
      <c r="J123" s="41" t="str">
        <f ca="1">OFFSET(Abilities!$N$1,MATCH(B123,Abilities!C:C,0)-1,-7)</f>
        <v>Affinity req</v>
      </c>
      <c r="K123" s="1" t="str">
        <f ca="1">OFFSET(Abilities!$N$1,MATCH(B123,Abilities!C:C,0)-1,-12)</f>
        <v>Category</v>
      </c>
      <c r="L123" s="148" t="str">
        <f ca="1">OFFSET(Abilities!$N$1,MATCH(B123,Abilities!C:C,0)-1,-9)</f>
        <v>Rules Text</v>
      </c>
      <c r="M123" s="147"/>
      <c r="N123" s="147"/>
      <c r="O123" s="147"/>
      <c r="P123" s="147"/>
      <c r="Q123" s="147"/>
      <c r="R123" s="147"/>
      <c r="S123" s="147"/>
      <c r="T123" s="147"/>
      <c r="U123" s="147"/>
      <c r="V123" s="147"/>
      <c r="W123" s="147"/>
      <c r="X123" s="147"/>
    </row>
    <row r="124" spans="1:24" ht="13" x14ac:dyDescent="0.15">
      <c r="A124" s="146">
        <v>1</v>
      </c>
      <c r="B124" s="149" t="s">
        <v>2</v>
      </c>
      <c r="C124" s="147"/>
      <c r="D124" s="147"/>
      <c r="E124" s="147"/>
      <c r="F124" s="147"/>
      <c r="G124" s="41" t="str">
        <f ca="1">IFERROR(OFFSET(Abilities!$N$1,MATCH(B124,Abilities!C:C,0)-1,A124),0)</f>
        <v>R1</v>
      </c>
      <c r="J124" s="41" t="str">
        <f ca="1">OFFSET(Abilities!$N$1,MATCH(B124,Abilities!C:C,0)-1,-7)</f>
        <v>Affinity req</v>
      </c>
      <c r="K124" s="1" t="str">
        <f ca="1">OFFSET(Abilities!$N$1,MATCH(B124,Abilities!C:C,0)-1,-12)</f>
        <v>Category</v>
      </c>
      <c r="L124" s="148" t="str">
        <f ca="1">OFFSET(Abilities!$N$1,MATCH(B124,Abilities!C:C,0)-1,-9)</f>
        <v>Rules Text</v>
      </c>
      <c r="M124" s="147"/>
      <c r="N124" s="147"/>
      <c r="O124" s="147"/>
      <c r="P124" s="147"/>
      <c r="Q124" s="147"/>
      <c r="R124" s="147"/>
      <c r="S124" s="147"/>
      <c r="T124" s="147"/>
      <c r="U124" s="147"/>
      <c r="V124" s="147"/>
      <c r="W124" s="147"/>
      <c r="X124" s="147"/>
    </row>
    <row r="125" spans="1:24" ht="13" x14ac:dyDescent="0.15">
      <c r="A125" s="146">
        <v>1</v>
      </c>
      <c r="B125" s="149" t="s">
        <v>2</v>
      </c>
      <c r="C125" s="147"/>
      <c r="D125" s="147"/>
      <c r="E125" s="147"/>
      <c r="F125" s="147"/>
      <c r="G125" s="41" t="str">
        <f ca="1">IFERROR(OFFSET(Abilities!$N$1,MATCH(B125,Abilities!C:C,0)-1,A125),0)</f>
        <v>R1</v>
      </c>
      <c r="J125" s="41" t="str">
        <f ca="1">OFFSET(Abilities!$N$1,MATCH(B125,Abilities!C:C,0)-1,-7)</f>
        <v>Affinity req</v>
      </c>
      <c r="K125" s="1" t="str">
        <f ca="1">OFFSET(Abilities!$N$1,MATCH(B125,Abilities!C:C,0)-1,-12)</f>
        <v>Category</v>
      </c>
      <c r="L125" s="148" t="str">
        <f ca="1">OFFSET(Abilities!$N$1,MATCH(B125,Abilities!C:C,0)-1,-9)</f>
        <v>Rules Text</v>
      </c>
      <c r="M125" s="147"/>
      <c r="N125" s="147"/>
      <c r="O125" s="147"/>
      <c r="P125" s="147"/>
      <c r="Q125" s="147"/>
      <c r="R125" s="147"/>
      <c r="S125" s="147"/>
      <c r="T125" s="147"/>
      <c r="U125" s="147"/>
      <c r="V125" s="147"/>
      <c r="W125" s="147"/>
      <c r="X125" s="147"/>
    </row>
  </sheetData>
  <mergeCells count="175">
    <mergeCell ref="L118:X118"/>
    <mergeCell ref="L119:X119"/>
    <mergeCell ref="B114:F114"/>
    <mergeCell ref="B115:F115"/>
    <mergeCell ref="B116:F116"/>
    <mergeCell ref="B117:F117"/>
    <mergeCell ref="L117:X117"/>
    <mergeCell ref="B118:F118"/>
    <mergeCell ref="B119:F119"/>
    <mergeCell ref="L115:X115"/>
    <mergeCell ref="L116:X116"/>
    <mergeCell ref="B111:F111"/>
    <mergeCell ref="L111:X111"/>
    <mergeCell ref="B112:F112"/>
    <mergeCell ref="L112:X112"/>
    <mergeCell ref="B113:F113"/>
    <mergeCell ref="L113:X113"/>
    <mergeCell ref="L114:X114"/>
    <mergeCell ref="L109:X109"/>
    <mergeCell ref="L110:X110"/>
    <mergeCell ref="B105:F105"/>
    <mergeCell ref="B106:F106"/>
    <mergeCell ref="B107:F107"/>
    <mergeCell ref="B108:F108"/>
    <mergeCell ref="L108:X108"/>
    <mergeCell ref="B109:F109"/>
    <mergeCell ref="B110:F110"/>
    <mergeCell ref="L106:X106"/>
    <mergeCell ref="L107:X107"/>
    <mergeCell ref="B102:F102"/>
    <mergeCell ref="L102:X102"/>
    <mergeCell ref="B103:F103"/>
    <mergeCell ref="L103:X103"/>
    <mergeCell ref="B104:F104"/>
    <mergeCell ref="L104:X104"/>
    <mergeCell ref="L105:X105"/>
    <mergeCell ref="B95:F95"/>
    <mergeCell ref="L95:X95"/>
    <mergeCell ref="L96:X96"/>
    <mergeCell ref="L100:X100"/>
    <mergeCell ref="L101:X101"/>
    <mergeCell ref="B96:F96"/>
    <mergeCell ref="B97:F97"/>
    <mergeCell ref="B98:F98"/>
    <mergeCell ref="B99:F99"/>
    <mergeCell ref="L99:X99"/>
    <mergeCell ref="B100:F100"/>
    <mergeCell ref="B101:F101"/>
    <mergeCell ref="L53:X53"/>
    <mergeCell ref="B53:F53"/>
    <mergeCell ref="B54:F54"/>
    <mergeCell ref="B55:F55"/>
    <mergeCell ref="B56:F56"/>
    <mergeCell ref="B57:F57"/>
    <mergeCell ref="B58:F58"/>
    <mergeCell ref="B59:F59"/>
    <mergeCell ref="B123:F123"/>
    <mergeCell ref="L91:X91"/>
    <mergeCell ref="L92:X92"/>
    <mergeCell ref="B87:F87"/>
    <mergeCell ref="B88:F88"/>
    <mergeCell ref="B89:F89"/>
    <mergeCell ref="B90:F90"/>
    <mergeCell ref="L90:X90"/>
    <mergeCell ref="B91:F91"/>
    <mergeCell ref="B92:F92"/>
    <mergeCell ref="L97:X97"/>
    <mergeCell ref="L98:X98"/>
    <mergeCell ref="B93:F93"/>
    <mergeCell ref="L93:X93"/>
    <mergeCell ref="B94:F94"/>
    <mergeCell ref="L94:X94"/>
    <mergeCell ref="B48:F48"/>
    <mergeCell ref="B49:F49"/>
    <mergeCell ref="B50:F50"/>
    <mergeCell ref="B51:F51"/>
    <mergeCell ref="B52:F52"/>
    <mergeCell ref="L47:X47"/>
    <mergeCell ref="L48:X48"/>
    <mergeCell ref="L49:X49"/>
    <mergeCell ref="L50:X50"/>
    <mergeCell ref="L51:X51"/>
    <mergeCell ref="L52:X52"/>
    <mergeCell ref="B43:F43"/>
    <mergeCell ref="L43:X43"/>
    <mergeCell ref="B44:F44"/>
    <mergeCell ref="L44:X44"/>
    <mergeCell ref="B45:F45"/>
    <mergeCell ref="L45:X45"/>
    <mergeCell ref="L46:X46"/>
    <mergeCell ref="B46:F46"/>
    <mergeCell ref="B47:F47"/>
    <mergeCell ref="L41:X41"/>
    <mergeCell ref="L42:X42"/>
    <mergeCell ref="Q1:X9"/>
    <mergeCell ref="Q11:X19"/>
    <mergeCell ref="Q21:X29"/>
    <mergeCell ref="Q31:X39"/>
    <mergeCell ref="B40:F40"/>
    <mergeCell ref="B41:F41"/>
    <mergeCell ref="B42:F42"/>
    <mergeCell ref="L124:X124"/>
    <mergeCell ref="L125:X125"/>
    <mergeCell ref="B120:F120"/>
    <mergeCell ref="L120:X120"/>
    <mergeCell ref="B121:F121"/>
    <mergeCell ref="L121:X121"/>
    <mergeCell ref="B122:F122"/>
    <mergeCell ref="L122:X122"/>
    <mergeCell ref="L123:X123"/>
    <mergeCell ref="B124:F124"/>
    <mergeCell ref="B125:F125"/>
    <mergeCell ref="L88:X88"/>
    <mergeCell ref="L89:X89"/>
    <mergeCell ref="B84:F84"/>
    <mergeCell ref="L84:X84"/>
    <mergeCell ref="B85:F85"/>
    <mergeCell ref="L85:X85"/>
    <mergeCell ref="B86:F86"/>
    <mergeCell ref="L86:X86"/>
    <mergeCell ref="L87:X87"/>
    <mergeCell ref="L82:X82"/>
    <mergeCell ref="L83:X83"/>
    <mergeCell ref="B78:F78"/>
    <mergeCell ref="B79:F79"/>
    <mergeCell ref="B80:F80"/>
    <mergeCell ref="B81:F81"/>
    <mergeCell ref="L81:X81"/>
    <mergeCell ref="B82:F82"/>
    <mergeCell ref="B83:F83"/>
    <mergeCell ref="L79:X79"/>
    <mergeCell ref="L80:X80"/>
    <mergeCell ref="B75:F75"/>
    <mergeCell ref="L75:X75"/>
    <mergeCell ref="B76:F76"/>
    <mergeCell ref="L76:X76"/>
    <mergeCell ref="B77:F77"/>
    <mergeCell ref="L77:X77"/>
    <mergeCell ref="L78:X78"/>
    <mergeCell ref="L73:X73"/>
    <mergeCell ref="L74:X74"/>
    <mergeCell ref="B69:F69"/>
    <mergeCell ref="B70:F70"/>
    <mergeCell ref="B71:F71"/>
    <mergeCell ref="B72:F72"/>
    <mergeCell ref="L72:X72"/>
    <mergeCell ref="B73:F73"/>
    <mergeCell ref="B74:F74"/>
    <mergeCell ref="L70:X70"/>
    <mergeCell ref="L71:X71"/>
    <mergeCell ref="B66:F66"/>
    <mergeCell ref="L66:X66"/>
    <mergeCell ref="B67:F67"/>
    <mergeCell ref="L67:X67"/>
    <mergeCell ref="B68:F68"/>
    <mergeCell ref="L68:X68"/>
    <mergeCell ref="L69:X69"/>
    <mergeCell ref="L64:X64"/>
    <mergeCell ref="L65:X65"/>
    <mergeCell ref="B60:F60"/>
    <mergeCell ref="B61:F61"/>
    <mergeCell ref="B62:F62"/>
    <mergeCell ref="B63:F63"/>
    <mergeCell ref="L63:X63"/>
    <mergeCell ref="B64:F64"/>
    <mergeCell ref="B65:F65"/>
    <mergeCell ref="L61:X61"/>
    <mergeCell ref="L62:X62"/>
    <mergeCell ref="L54:X54"/>
    <mergeCell ref="L55:X55"/>
    <mergeCell ref="L56:X56"/>
    <mergeCell ref="L57:X57"/>
    <mergeCell ref="L58:X58"/>
    <mergeCell ref="L59:X59"/>
    <mergeCell ref="L60:X60"/>
  </mergeCells>
  <conditionalFormatting sqref="B14:B18">
    <cfRule type="expression" dxfId="15" priority="6">
      <formula>SUM($B$14:$B$18)&gt;3*$B$13</formula>
    </cfRule>
  </conditionalFormatting>
  <conditionalFormatting sqref="B20">
    <cfRule type="expression" dxfId="14" priority="5">
      <formula>B20&gt;(B21*1.1)</formula>
    </cfRule>
    <cfRule type="expression" dxfId="13" priority="7">
      <formula>B20&gt;B21</formula>
    </cfRule>
  </conditionalFormatting>
  <conditionalFormatting sqref="G3:G6">
    <cfRule type="expression" dxfId="12" priority="1">
      <formula>$G$2&gt;0</formula>
    </cfRule>
  </conditionalFormatting>
  <conditionalFormatting sqref="G8:G11">
    <cfRule type="expression" dxfId="11" priority="2">
      <formula>$G$7&gt;0</formula>
    </cfRule>
  </conditionalFormatting>
  <conditionalFormatting sqref="G13:G16">
    <cfRule type="expression" dxfId="10" priority="3">
      <formula>$G$12&gt;0</formula>
    </cfRule>
  </conditionalFormatting>
  <conditionalFormatting sqref="G18:G21">
    <cfRule type="expression" dxfId="9" priority="4">
      <formula>$G$17&gt;0</formula>
    </cfRule>
  </conditionalFormatting>
  <conditionalFormatting sqref="N14">
    <cfRule type="expression" dxfId="8" priority="8">
      <formula>$N$34=0</formula>
    </cfRule>
  </conditionalFormatting>
  <dataValidations count="12">
    <dataValidation type="list" allowBlank="1" showErrorMessage="1" sqref="B11" xr:uid="{00000000-0002-0000-1100-000000000000}">
      <formula1>$A$7:$A$9</formula1>
    </dataValidation>
    <dataValidation type="list" allowBlank="1" sqref="L11" xr:uid="{00000000-0002-0000-1100-000001000000}">
      <formula1>"Light Armor,Normal Armor"</formula1>
    </dataValidation>
    <dataValidation type="list" allowBlank="1" showErrorMessage="1" sqref="M25:O25" xr:uid="{00000000-0002-0000-1100-000002000000}">
      <formula1>$C$32:$C$36</formula1>
    </dataValidation>
    <dataValidation type="decimal" allowBlank="1" showDropDown="1" showErrorMessage="1" sqref="B13 A41:A125" xr:uid="{00000000-0002-0000-1100-000003000000}">
      <formula1>1</formula1>
      <formula2>10</formula2>
    </dataValidation>
    <dataValidation type="list" allowBlank="1" showErrorMessage="1" sqref="J28:J36" xr:uid="{00000000-0002-0000-1100-000004000000}">
      <formula1>"L,I"</formula1>
    </dataValidation>
    <dataValidation type="list" allowBlank="1" showErrorMessage="1" sqref="N27" xr:uid="{00000000-0002-0000-1100-000005000000}">
      <formula1>"1,2,3"</formula1>
    </dataValidation>
    <dataValidation type="list" allowBlank="1" sqref="O33" xr:uid="{00000000-0002-0000-1100-000006000000}">
      <formula1>"None,Fire,Cold,Dark,Radiant,Lightning,Acid"</formula1>
    </dataValidation>
    <dataValidation type="decimal" allowBlank="1" showDropDown="1" showErrorMessage="1" sqref="B2:B10" xr:uid="{00000000-0002-0000-1100-000007000000}">
      <formula1>1</formula1>
      <formula2>11</formula2>
    </dataValidation>
    <dataValidation type="decimal" allowBlank="1" showDropDown="1" showErrorMessage="1" sqref="G2:G36" xr:uid="{00000000-0002-0000-1100-000008000000}">
      <formula1>0</formula1>
      <formula2>10</formula2>
    </dataValidation>
    <dataValidation type="decimal" allowBlank="1" showDropDown="1" showErrorMessage="1" sqref="B14:B18" xr:uid="{00000000-0002-0000-1100-000009000000}">
      <formula1>0</formula1>
      <formula2>30</formula2>
    </dataValidation>
    <dataValidation type="list" allowBlank="1" showErrorMessage="1" sqref="M18:O18" xr:uid="{00000000-0002-0000-1100-00000B000000}">
      <formula1>"Melee,Ranged"</formula1>
    </dataValidation>
    <dataValidation type="list" allowBlank="1" showErrorMessage="1" sqref="M20:O20" xr:uid="{00000000-0002-0000-1100-00000C000000}">
      <formula1>"Light,1H,2H"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1100-00000A000000}">
          <x14:formula1>
            <xm:f>Abilities!$C:$C</xm:f>
          </x14:formula1>
          <xm:sqref>B41:B125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outlinePr summaryBelow="0" summaryRight="0"/>
  </sheetPr>
  <dimension ref="A1:X125"/>
  <sheetViews>
    <sheetView workbookViewId="0"/>
  </sheetViews>
  <sheetFormatPr baseColWidth="10" defaultColWidth="12.6640625" defaultRowHeight="15.75" customHeight="1" x14ac:dyDescent="0.15"/>
  <cols>
    <col min="1" max="2" width="12.6640625" customWidth="1"/>
    <col min="3" max="5" width="12.6640625" hidden="1" customWidth="1"/>
    <col min="6" max="7" width="12.6640625" customWidth="1"/>
    <col min="8" max="9" width="12.6640625" hidden="1" customWidth="1"/>
    <col min="10" max="17" width="12.6640625" customWidth="1"/>
  </cols>
  <sheetData>
    <row r="1" spans="1:24" ht="15.75" customHeight="1" x14ac:dyDescent="0.15">
      <c r="A1" s="39" t="s">
        <v>2221</v>
      </c>
      <c r="B1" s="42" t="s">
        <v>2221</v>
      </c>
      <c r="C1" s="1" t="s">
        <v>2143</v>
      </c>
      <c r="D1" s="1" t="s">
        <v>2144</v>
      </c>
      <c r="G1" s="43" t="s">
        <v>2145</v>
      </c>
      <c r="H1" s="44"/>
      <c r="I1" s="45" t="s">
        <v>2144</v>
      </c>
      <c r="J1" s="46"/>
      <c r="K1" s="43" t="s">
        <v>2146</v>
      </c>
      <c r="N1" s="47" t="s">
        <v>2147</v>
      </c>
      <c r="O1" s="48" t="s">
        <v>2148</v>
      </c>
      <c r="Q1" s="150" t="s">
        <v>2223</v>
      </c>
      <c r="R1" s="147"/>
      <c r="S1" s="147"/>
      <c r="T1" s="147"/>
      <c r="U1" s="147"/>
      <c r="V1" s="147"/>
      <c r="W1" s="147"/>
      <c r="X1" s="147"/>
    </row>
    <row r="2" spans="1:24" ht="15.75" customHeight="1" x14ac:dyDescent="0.15">
      <c r="A2" s="49" t="s">
        <v>2128</v>
      </c>
      <c r="B2" s="50">
        <v>7</v>
      </c>
      <c r="C2" s="1">
        <v>1</v>
      </c>
      <c r="D2">
        <f t="shared" ref="D2:D10" si="0">(B2^2+B2-2)*2.5 - 10*C2</f>
        <v>125</v>
      </c>
      <c r="E2" s="1" t="s">
        <v>9</v>
      </c>
      <c r="F2" s="51" t="s">
        <v>2149</v>
      </c>
      <c r="G2" s="52">
        <v>1</v>
      </c>
      <c r="H2" s="40"/>
      <c r="I2" s="53">
        <f>IF(G2&gt;0,(G2^2+G2+2)*2.5,0)</f>
        <v>10</v>
      </c>
      <c r="J2" s="54"/>
      <c r="K2" s="55"/>
      <c r="L2" s="56" t="s">
        <v>2150</v>
      </c>
      <c r="M2" s="57">
        <f>16+B2+O2</f>
        <v>23</v>
      </c>
      <c r="N2" s="58">
        <v>21</v>
      </c>
      <c r="O2" s="59">
        <v>0</v>
      </c>
      <c r="Q2" s="147"/>
      <c r="R2" s="147"/>
      <c r="S2" s="147"/>
      <c r="T2" s="147"/>
      <c r="U2" s="147"/>
      <c r="V2" s="147"/>
      <c r="W2" s="147"/>
      <c r="X2" s="147"/>
    </row>
    <row r="3" spans="1:24" ht="15.75" customHeight="1" x14ac:dyDescent="0.15">
      <c r="A3" s="60" t="s">
        <v>2129</v>
      </c>
      <c r="B3" s="59">
        <v>2</v>
      </c>
      <c r="C3" s="1">
        <v>1</v>
      </c>
      <c r="D3">
        <f t="shared" si="0"/>
        <v>0</v>
      </c>
      <c r="E3" s="1" t="s">
        <v>2151</v>
      </c>
      <c r="F3" s="61" t="s">
        <v>2152</v>
      </c>
      <c r="G3" s="52">
        <v>0</v>
      </c>
      <c r="H3" s="62" t="s">
        <v>2137</v>
      </c>
      <c r="I3" s="53">
        <f t="shared" ref="I3:I6" si="1">IF(OR($I$2&gt;0,G3=0),0,(G3^2+G3+2))</f>
        <v>0</v>
      </c>
      <c r="J3" s="63" t="str">
        <f t="shared" ref="J3:J6" si="2">H3</f>
        <v>S</v>
      </c>
      <c r="K3" s="64">
        <f t="shared" ref="K3:K6" ca="1" si="3">OFFSET($B$1, MATCH(H3,$E$2:$E$9,0),0)+IF($G$2&gt;0,$G$2+MIN(CEILING($B$13/2,1),$G$2),G3+IF(G3=0,-1,0)+MIN(CEILING($B$13/2,1),G3))</f>
        <v>4</v>
      </c>
      <c r="L3" s="65" t="s">
        <v>2153</v>
      </c>
      <c r="M3" s="60">
        <f>16+B6+O3</f>
        <v>24</v>
      </c>
      <c r="N3" s="58">
        <v>18</v>
      </c>
      <c r="O3" s="59">
        <v>0</v>
      </c>
      <c r="Q3" s="147"/>
      <c r="R3" s="147"/>
      <c r="S3" s="147"/>
      <c r="T3" s="147"/>
      <c r="U3" s="147"/>
      <c r="V3" s="147"/>
      <c r="W3" s="147"/>
      <c r="X3" s="147"/>
    </row>
    <row r="4" spans="1:24" ht="15.75" customHeight="1" x14ac:dyDescent="0.15">
      <c r="A4" s="60" t="s">
        <v>2130</v>
      </c>
      <c r="B4" s="59">
        <v>5</v>
      </c>
      <c r="D4">
        <f t="shared" si="0"/>
        <v>70</v>
      </c>
      <c r="E4" s="1" t="s">
        <v>10</v>
      </c>
      <c r="F4" s="61" t="s">
        <v>2154</v>
      </c>
      <c r="G4" s="52">
        <v>0</v>
      </c>
      <c r="H4" s="62" t="s">
        <v>2151</v>
      </c>
      <c r="I4" s="53">
        <f t="shared" si="1"/>
        <v>0</v>
      </c>
      <c r="J4" s="63" t="str">
        <f t="shared" si="2"/>
        <v>A</v>
      </c>
      <c r="K4" s="64">
        <f t="shared" ca="1" si="3"/>
        <v>4</v>
      </c>
      <c r="L4" s="66" t="s">
        <v>2155</v>
      </c>
      <c r="M4" s="67">
        <f ca="1">16+OFFSET($B$1, MATCH(H22,$E$2:$E$9,0),0)+O4</f>
        <v>25</v>
      </c>
      <c r="N4" s="58">
        <v>21</v>
      </c>
      <c r="O4" s="68">
        <v>0</v>
      </c>
      <c r="Q4" s="147"/>
      <c r="R4" s="147"/>
      <c r="S4" s="147"/>
      <c r="T4" s="147"/>
      <c r="U4" s="147"/>
      <c r="V4" s="147"/>
      <c r="W4" s="147"/>
      <c r="X4" s="147"/>
    </row>
    <row r="5" spans="1:24" ht="15.75" customHeight="1" x14ac:dyDescent="0.15">
      <c r="A5" s="60" t="s">
        <v>2131</v>
      </c>
      <c r="B5" s="59">
        <v>2</v>
      </c>
      <c r="D5">
        <f t="shared" si="0"/>
        <v>10</v>
      </c>
      <c r="E5" s="1" t="s">
        <v>2137</v>
      </c>
      <c r="F5" s="61" t="s">
        <v>2156</v>
      </c>
      <c r="G5" s="52">
        <v>0</v>
      </c>
      <c r="H5" s="62" t="s">
        <v>9</v>
      </c>
      <c r="I5" s="53">
        <f t="shared" si="1"/>
        <v>0</v>
      </c>
      <c r="J5" s="63" t="str">
        <f t="shared" si="2"/>
        <v>B</v>
      </c>
      <c r="K5" s="64">
        <f t="shared" ca="1" si="3"/>
        <v>9</v>
      </c>
      <c r="L5" s="69" t="s">
        <v>2157</v>
      </c>
      <c r="M5" s="70">
        <f>B10</f>
        <v>5</v>
      </c>
      <c r="N5" s="71">
        <v>4</v>
      </c>
      <c r="O5" s="72"/>
      <c r="Q5" s="147"/>
      <c r="R5" s="147"/>
      <c r="S5" s="147"/>
      <c r="T5" s="147"/>
      <c r="U5" s="147"/>
      <c r="V5" s="147"/>
      <c r="W5" s="147"/>
      <c r="X5" s="147"/>
    </row>
    <row r="6" spans="1:24" ht="15.75" customHeight="1" x14ac:dyDescent="0.15">
      <c r="A6" s="60" t="s">
        <v>2132</v>
      </c>
      <c r="B6" s="59">
        <v>8</v>
      </c>
      <c r="D6">
        <f t="shared" si="0"/>
        <v>175</v>
      </c>
      <c r="E6" s="1" t="s">
        <v>7</v>
      </c>
      <c r="F6" s="61" t="s">
        <v>2158</v>
      </c>
      <c r="G6" s="52">
        <v>0</v>
      </c>
      <c r="H6" s="62" t="s">
        <v>10</v>
      </c>
      <c r="I6" s="53">
        <f t="shared" si="1"/>
        <v>0</v>
      </c>
      <c r="J6" s="63" t="str">
        <f t="shared" si="2"/>
        <v>R</v>
      </c>
      <c r="K6" s="64">
        <f t="shared" ca="1" si="3"/>
        <v>7</v>
      </c>
      <c r="L6" s="73" t="s">
        <v>2159</v>
      </c>
      <c r="M6" s="41">
        <f>B2</f>
        <v>7</v>
      </c>
      <c r="N6" s="74" t="s">
        <v>2160</v>
      </c>
      <c r="Q6" s="147"/>
      <c r="R6" s="147"/>
      <c r="S6" s="147"/>
      <c r="T6" s="147"/>
      <c r="U6" s="147"/>
      <c r="V6" s="147"/>
      <c r="W6" s="147"/>
      <c r="X6" s="147"/>
    </row>
    <row r="7" spans="1:24" ht="15.75" customHeight="1" x14ac:dyDescent="0.15">
      <c r="A7" s="60" t="s">
        <v>2133</v>
      </c>
      <c r="B7" s="59">
        <v>9</v>
      </c>
      <c r="D7">
        <f t="shared" si="0"/>
        <v>220</v>
      </c>
      <c r="E7" s="1" t="s">
        <v>2161</v>
      </c>
      <c r="F7" s="75" t="s">
        <v>2162</v>
      </c>
      <c r="G7" s="52">
        <v>0</v>
      </c>
      <c r="H7" s="40"/>
      <c r="I7" s="53">
        <f>IF(G7&gt;0,(G7^2+G7+2)*2.5,0)</f>
        <v>0</v>
      </c>
      <c r="J7" s="76"/>
      <c r="K7" s="77"/>
      <c r="L7" s="56" t="s">
        <v>2163</v>
      </c>
      <c r="M7" s="44">
        <f>CEILING(((2-1*(L11="Light Armor"))*B2+B8)/2,1)+N7</f>
        <v>9</v>
      </c>
      <c r="N7" s="78"/>
      <c r="Q7" s="147"/>
      <c r="R7" s="147"/>
      <c r="S7" s="147"/>
      <c r="T7" s="147"/>
      <c r="U7" s="147"/>
      <c r="V7" s="147"/>
      <c r="W7" s="147"/>
      <c r="X7" s="147"/>
    </row>
    <row r="8" spans="1:24" ht="15.75" customHeight="1" x14ac:dyDescent="0.15">
      <c r="A8" s="60" t="s">
        <v>2134</v>
      </c>
      <c r="B8" s="59">
        <v>3</v>
      </c>
      <c r="D8">
        <f t="shared" si="0"/>
        <v>25</v>
      </c>
      <c r="E8" s="1" t="s">
        <v>2139</v>
      </c>
      <c r="F8" s="61" t="s">
        <v>2164</v>
      </c>
      <c r="G8" s="52">
        <v>1</v>
      </c>
      <c r="H8" s="62" t="s">
        <v>2161</v>
      </c>
      <c r="I8" s="53">
        <f t="shared" ref="I8:I11" si="4">IF(OR($I$7&gt;0,G8=0),0,(G8^2+G8+2))</f>
        <v>4</v>
      </c>
      <c r="J8" s="63" t="str">
        <f t="shared" ref="J8:J11" si="5">H8</f>
        <v>I</v>
      </c>
      <c r="K8" s="64">
        <f t="shared" ref="K8:K11" ca="1" si="6">OFFSET($B$1, MATCH(H8,$E$2:$E$9,0),0)+IF($G$7&gt;0,$G$7+MIN(CEILING($B$13/2,1),$G$7),G8+IF(G8=0,-1,0)+MIN(CEILING($B$13/2,1),G8))</f>
        <v>11</v>
      </c>
      <c r="L8" s="66" t="s">
        <v>2165</v>
      </c>
      <c r="M8" s="79">
        <f>CEILING((B3+2*B5)/2,1)+N8</f>
        <v>3</v>
      </c>
      <c r="N8" s="78"/>
      <c r="Q8" s="147"/>
      <c r="R8" s="147"/>
      <c r="S8" s="147"/>
      <c r="T8" s="147"/>
      <c r="U8" s="147"/>
      <c r="V8" s="147"/>
      <c r="W8" s="147"/>
      <c r="X8" s="147"/>
    </row>
    <row r="9" spans="1:24" ht="15.75" customHeight="1" x14ac:dyDescent="0.15">
      <c r="A9" s="60" t="s">
        <v>2135</v>
      </c>
      <c r="B9" s="59">
        <v>2</v>
      </c>
      <c r="D9">
        <f t="shared" si="0"/>
        <v>10</v>
      </c>
      <c r="E9" s="1" t="s">
        <v>2138</v>
      </c>
      <c r="F9" s="61" t="s">
        <v>2166</v>
      </c>
      <c r="G9" s="52">
        <v>0</v>
      </c>
      <c r="H9" s="62" t="s">
        <v>7</v>
      </c>
      <c r="I9" s="53">
        <f t="shared" si="4"/>
        <v>0</v>
      </c>
      <c r="J9" s="63" t="str">
        <f t="shared" si="5"/>
        <v>W</v>
      </c>
      <c r="K9" s="64">
        <f t="shared" ca="1" si="6"/>
        <v>7</v>
      </c>
      <c r="L9" s="66" t="s">
        <v>2167</v>
      </c>
      <c r="M9" s="79">
        <f>CEILING((2*B6+B9)/2,1)+N9</f>
        <v>9</v>
      </c>
      <c r="N9" s="78"/>
      <c r="Q9" s="147"/>
      <c r="R9" s="147"/>
      <c r="S9" s="147"/>
      <c r="T9" s="147"/>
      <c r="U9" s="147"/>
      <c r="V9" s="147"/>
      <c r="W9" s="147"/>
      <c r="X9" s="147"/>
    </row>
    <row r="10" spans="1:24" ht="15.75" customHeight="1" x14ac:dyDescent="0.15">
      <c r="A10" s="60" t="s">
        <v>2157</v>
      </c>
      <c r="B10" s="59">
        <v>5</v>
      </c>
      <c r="D10">
        <f t="shared" si="0"/>
        <v>70</v>
      </c>
      <c r="F10" s="61" t="s">
        <v>2168</v>
      </c>
      <c r="G10" s="52">
        <v>1</v>
      </c>
      <c r="H10" s="62" t="s">
        <v>2139</v>
      </c>
      <c r="I10" s="53">
        <f t="shared" si="4"/>
        <v>4</v>
      </c>
      <c r="J10" s="63" t="str">
        <f t="shared" si="5"/>
        <v>L</v>
      </c>
      <c r="K10" s="64">
        <f t="shared" ca="1" si="6"/>
        <v>5</v>
      </c>
      <c r="L10" s="69" t="s">
        <v>2169</v>
      </c>
      <c r="M10" s="80">
        <f>2*B6+N10</f>
        <v>16</v>
      </c>
      <c r="N10" s="81"/>
    </row>
    <row r="11" spans="1:24" ht="15.75" customHeight="1" x14ac:dyDescent="0.15">
      <c r="A11" s="82" t="s">
        <v>2170</v>
      </c>
      <c r="B11" s="68" t="s">
        <v>2133</v>
      </c>
      <c r="C11" s="41"/>
      <c r="F11" s="61" t="s">
        <v>2171</v>
      </c>
      <c r="G11" s="52">
        <v>0</v>
      </c>
      <c r="H11" s="62" t="s">
        <v>2161</v>
      </c>
      <c r="I11" s="53">
        <f t="shared" si="4"/>
        <v>0</v>
      </c>
      <c r="J11" s="63" t="str">
        <f t="shared" si="5"/>
        <v>I</v>
      </c>
      <c r="K11" s="64">
        <f t="shared" ca="1" si="6"/>
        <v>8</v>
      </c>
      <c r="L11" s="83" t="s">
        <v>2172</v>
      </c>
      <c r="M11" s="84" t="s">
        <v>921</v>
      </c>
      <c r="N11" s="41" t="s">
        <v>2173</v>
      </c>
      <c r="O11" s="85" t="s">
        <v>2160</v>
      </c>
      <c r="Q11" s="150" t="s">
        <v>2224</v>
      </c>
      <c r="R11" s="147"/>
      <c r="S11" s="147"/>
      <c r="T11" s="147"/>
      <c r="U11" s="147"/>
      <c r="V11" s="147"/>
      <c r="W11" s="147"/>
      <c r="X11" s="147"/>
    </row>
    <row r="12" spans="1:24" ht="15.75" customHeight="1" x14ac:dyDescent="0.15">
      <c r="F12" s="75" t="s">
        <v>2174</v>
      </c>
      <c r="G12" s="52">
        <v>0</v>
      </c>
      <c r="H12" s="40"/>
      <c r="I12" s="53">
        <f>IF(G12&gt;0,(G12^2+G12+2)*2.5,0)</f>
        <v>0</v>
      </c>
      <c r="J12" s="76"/>
      <c r="K12" s="77"/>
      <c r="L12" s="86" t="s">
        <v>2136</v>
      </c>
      <c r="M12" s="79">
        <f>B7+B4</f>
        <v>14</v>
      </c>
      <c r="N12" s="62">
        <f>M12+G26+MIN(G26,CEILING(B13/2,1))+O12+(G26*(L11="Light Armor"))</f>
        <v>26</v>
      </c>
      <c r="O12" s="87"/>
      <c r="Q12" s="147"/>
      <c r="R12" s="147"/>
      <c r="S12" s="147"/>
      <c r="T12" s="147"/>
      <c r="U12" s="147"/>
      <c r="V12" s="147"/>
      <c r="W12" s="147"/>
      <c r="X12" s="147"/>
    </row>
    <row r="13" spans="1:24" ht="15.75" customHeight="1" x14ac:dyDescent="0.15">
      <c r="A13" s="49" t="s">
        <v>2175</v>
      </c>
      <c r="B13" s="50">
        <v>10</v>
      </c>
      <c r="C13">
        <f>(B13^2+7*B13-8)*2.5</f>
        <v>405</v>
      </c>
      <c r="F13" s="61" t="s">
        <v>2176</v>
      </c>
      <c r="G13" s="52">
        <v>2</v>
      </c>
      <c r="H13" s="62" t="s">
        <v>2138</v>
      </c>
      <c r="I13" s="53">
        <f t="shared" ref="I13:I16" si="7">IF(OR($I$12&gt;0,G13=0),0,(G13^2+G13+2))</f>
        <v>8</v>
      </c>
      <c r="J13" s="63" t="str">
        <f t="shared" ref="J13:J16" si="8">H13</f>
        <v>C</v>
      </c>
      <c r="K13" s="64">
        <f t="shared" ref="K13:K16" ca="1" si="9">OFFSET($B$1, MATCH(H13,$E$2:$E$9,0),0)+IF($G$12&gt;0,$G$12+MIN(CEILING($B$13/2,1),$G$12),G13+IF(G13=0,-1,0)+MIN(CEILING($B$13/2,1),G13))</f>
        <v>6</v>
      </c>
      <c r="L13" s="88" t="s">
        <v>2177</v>
      </c>
      <c r="M13" s="79" t="s">
        <v>2178</v>
      </c>
      <c r="N13" s="62">
        <f ca="1">M12+G24+MIN(CEILING(B13/2,1),G24)+O13+N30</f>
        <v>14</v>
      </c>
      <c r="O13" s="87"/>
      <c r="Q13" s="147"/>
      <c r="R13" s="147"/>
      <c r="S13" s="147"/>
      <c r="T13" s="147"/>
      <c r="U13" s="147"/>
      <c r="V13" s="147"/>
      <c r="W13" s="147"/>
      <c r="X13" s="147"/>
    </row>
    <row r="14" spans="1:24" ht="15.75" customHeight="1" x14ac:dyDescent="0.15">
      <c r="A14" s="89" t="s">
        <v>7</v>
      </c>
      <c r="B14" s="59">
        <v>0</v>
      </c>
      <c r="F14" s="61" t="s">
        <v>2179</v>
      </c>
      <c r="G14" s="52">
        <v>0</v>
      </c>
      <c r="H14" s="62" t="s">
        <v>2161</v>
      </c>
      <c r="I14" s="53">
        <f t="shared" si="7"/>
        <v>0</v>
      </c>
      <c r="J14" s="63" t="str">
        <f t="shared" si="8"/>
        <v>I</v>
      </c>
      <c r="K14" s="64">
        <f t="shared" ca="1" si="9"/>
        <v>8</v>
      </c>
      <c r="L14" s="88" t="s">
        <v>2180</v>
      </c>
      <c r="M14" s="79" t="s">
        <v>2178</v>
      </c>
      <c r="N14" s="62">
        <f ca="1">M12+G24+MIN(CEILING(B13/2,1),G24)+O14+N34</f>
        <v>14</v>
      </c>
      <c r="O14" s="87"/>
      <c r="Q14" s="147"/>
      <c r="R14" s="147"/>
      <c r="S14" s="147"/>
      <c r="T14" s="147"/>
      <c r="U14" s="147"/>
      <c r="V14" s="147"/>
      <c r="W14" s="147"/>
      <c r="X14" s="147"/>
    </row>
    <row r="15" spans="1:24" ht="15.75" customHeight="1" x14ac:dyDescent="0.15">
      <c r="A15" s="90" t="s">
        <v>8</v>
      </c>
      <c r="B15" s="59">
        <v>19</v>
      </c>
      <c r="F15" s="61" t="s">
        <v>2181</v>
      </c>
      <c r="G15" s="52">
        <v>0</v>
      </c>
      <c r="H15" s="62" t="s">
        <v>2138</v>
      </c>
      <c r="I15" s="53">
        <f t="shared" si="7"/>
        <v>0</v>
      </c>
      <c r="J15" s="63" t="str">
        <f t="shared" si="8"/>
        <v>C</v>
      </c>
      <c r="K15" s="64">
        <f t="shared" ca="1" si="9"/>
        <v>1</v>
      </c>
      <c r="L15" s="88" t="s">
        <v>2182</v>
      </c>
      <c r="M15" s="79">
        <f>B2+B3</f>
        <v>9</v>
      </c>
      <c r="N15" s="62">
        <f>M15+G27+MIN(CEILING(B13/2,1),G27)+O15</f>
        <v>19</v>
      </c>
      <c r="O15" s="87"/>
      <c r="Q15" s="147"/>
      <c r="R15" s="147"/>
      <c r="S15" s="147"/>
      <c r="T15" s="147"/>
      <c r="U15" s="147"/>
      <c r="V15" s="147"/>
      <c r="W15" s="147"/>
      <c r="X15" s="147"/>
    </row>
    <row r="16" spans="1:24" ht="15.75" customHeight="1" x14ac:dyDescent="0.15">
      <c r="A16" s="91" t="s">
        <v>9</v>
      </c>
      <c r="B16" s="59">
        <v>0</v>
      </c>
      <c r="F16" s="61" t="s">
        <v>2183</v>
      </c>
      <c r="G16" s="52">
        <v>0</v>
      </c>
      <c r="H16" s="62" t="s">
        <v>2138</v>
      </c>
      <c r="I16" s="53">
        <f t="shared" si="7"/>
        <v>0</v>
      </c>
      <c r="J16" s="63" t="str">
        <f t="shared" si="8"/>
        <v>C</v>
      </c>
      <c r="K16" s="64">
        <f t="shared" ca="1" si="9"/>
        <v>1</v>
      </c>
      <c r="L16" s="92" t="s">
        <v>2184</v>
      </c>
      <c r="M16" s="80">
        <f>B6+B9</f>
        <v>10</v>
      </c>
      <c r="N16" s="93">
        <f>M16+G27+MIN(CEILING(B13/2,1),G27)+O16</f>
        <v>20</v>
      </c>
      <c r="O16" s="94"/>
      <c r="Q16" s="147"/>
      <c r="R16" s="147"/>
      <c r="S16" s="147"/>
      <c r="T16" s="147"/>
      <c r="U16" s="147"/>
      <c r="V16" s="147"/>
      <c r="W16" s="147"/>
      <c r="X16" s="147"/>
    </row>
    <row r="17" spans="1:24" ht="15.75" customHeight="1" x14ac:dyDescent="0.15">
      <c r="A17" s="95" t="s">
        <v>10</v>
      </c>
      <c r="B17" s="59">
        <v>11</v>
      </c>
      <c r="F17" s="75" t="s">
        <v>2185</v>
      </c>
      <c r="G17" s="52">
        <v>0</v>
      </c>
      <c r="H17" s="40"/>
      <c r="I17" s="53">
        <f>IF(G17&gt;0,(G17^2+G17+2)*2.5,0)</f>
        <v>0</v>
      </c>
      <c r="J17" s="76"/>
      <c r="K17" s="77"/>
      <c r="M17" s="96">
        <v>1</v>
      </c>
      <c r="N17" s="96">
        <v>2</v>
      </c>
      <c r="O17" s="96">
        <v>3</v>
      </c>
      <c r="Q17" s="147"/>
      <c r="R17" s="147"/>
      <c r="S17" s="147"/>
      <c r="T17" s="147"/>
      <c r="U17" s="147"/>
      <c r="V17" s="147"/>
      <c r="W17" s="147"/>
      <c r="X17" s="147"/>
    </row>
    <row r="18" spans="1:24" ht="15.75" customHeight="1" x14ac:dyDescent="0.15">
      <c r="A18" s="97" t="s">
        <v>11</v>
      </c>
      <c r="B18" s="68">
        <v>0</v>
      </c>
      <c r="F18" s="61" t="s">
        <v>2186</v>
      </c>
      <c r="G18" s="52">
        <v>0</v>
      </c>
      <c r="H18" s="62" t="s">
        <v>2161</v>
      </c>
      <c r="I18" s="53">
        <f t="shared" ref="I18:I21" si="10">IF(OR($I$17&gt;0,G18=0),0,(G18^2+G18+2))</f>
        <v>0</v>
      </c>
      <c r="J18" s="63" t="str">
        <f t="shared" ref="J18:J25" si="11">H18</f>
        <v>I</v>
      </c>
      <c r="K18" s="64">
        <f t="shared" ref="K18:K21" ca="1" si="12">OFFSET($B$1, MATCH(H18,$E$2:$E$9,0),0)+IF($G$17&gt;0,$G$17+MIN(CEILING($B$13/2,1),$G$17),G18+IF(G18=0,-1,0)+MIN(CEILING($B$13/2,1),G18))</f>
        <v>8</v>
      </c>
      <c r="M18" s="1" t="s">
        <v>2187</v>
      </c>
      <c r="N18" s="1" t="s">
        <v>2187</v>
      </c>
      <c r="O18" s="1" t="s">
        <v>2187</v>
      </c>
      <c r="Q18" s="147"/>
      <c r="R18" s="147"/>
      <c r="S18" s="147"/>
      <c r="T18" s="147"/>
      <c r="U18" s="147"/>
      <c r="V18" s="147"/>
      <c r="W18" s="147"/>
      <c r="X18" s="147"/>
    </row>
    <row r="19" spans="1:24" ht="15.75" customHeight="1" x14ac:dyDescent="0.15">
      <c r="D19" s="1" t="s">
        <v>2188</v>
      </c>
      <c r="F19" s="61" t="s">
        <v>2189</v>
      </c>
      <c r="G19" s="52">
        <v>1</v>
      </c>
      <c r="H19" s="62" t="s">
        <v>2151</v>
      </c>
      <c r="I19" s="53">
        <f t="shared" si="10"/>
        <v>4</v>
      </c>
      <c r="J19" s="63" t="str">
        <f t="shared" si="11"/>
        <v>A</v>
      </c>
      <c r="K19" s="64">
        <f t="shared" ca="1" si="12"/>
        <v>4</v>
      </c>
      <c r="L19" s="98" t="s">
        <v>2127</v>
      </c>
      <c r="M19" s="99"/>
      <c r="N19" s="100"/>
      <c r="O19" s="101"/>
      <c r="Q19" s="147"/>
      <c r="R19" s="147"/>
      <c r="S19" s="147"/>
      <c r="T19" s="147"/>
      <c r="U19" s="147"/>
      <c r="V19" s="147"/>
      <c r="W19" s="147"/>
      <c r="X19" s="147"/>
    </row>
    <row r="20" spans="1:24" ht="15.75" customHeight="1" x14ac:dyDescent="0.15">
      <c r="A20" s="102" t="s">
        <v>2190</v>
      </c>
      <c r="B20" s="103">
        <f ca="1">SUM(D2:D10)+SUM(C13:C18)+SUM(I2:I44)+SUM(G37:G121)-MIN(SUM(I34:I44),D20)</f>
        <v>2020</v>
      </c>
      <c r="D20">
        <f>(B8+B7)*10</f>
        <v>120</v>
      </c>
      <c r="F20" s="61" t="s">
        <v>2191</v>
      </c>
      <c r="G20" s="104">
        <v>3</v>
      </c>
      <c r="H20" s="62" t="s">
        <v>2151</v>
      </c>
      <c r="I20" s="53">
        <f t="shared" si="10"/>
        <v>14</v>
      </c>
      <c r="J20" s="63" t="str">
        <f t="shared" si="11"/>
        <v>A</v>
      </c>
      <c r="K20" s="105">
        <f t="shared" ca="1" si="12"/>
        <v>8</v>
      </c>
      <c r="L20" s="106" t="s">
        <v>2192</v>
      </c>
      <c r="M20" s="107" t="s">
        <v>2193</v>
      </c>
      <c r="N20" s="108" t="s">
        <v>2194</v>
      </c>
      <c r="O20" s="109" t="s">
        <v>2195</v>
      </c>
    </row>
    <row r="21" spans="1:24" ht="15.75" customHeight="1" x14ac:dyDescent="0.15">
      <c r="A21" s="102" t="s">
        <v>2196</v>
      </c>
      <c r="B21" s="102">
        <v>2040</v>
      </c>
      <c r="F21" s="110" t="s">
        <v>2197</v>
      </c>
      <c r="G21" s="111">
        <v>0</v>
      </c>
      <c r="H21" s="93" t="s">
        <v>2151</v>
      </c>
      <c r="I21" s="112">
        <f t="shared" si="10"/>
        <v>0</v>
      </c>
      <c r="J21" s="113" t="str">
        <f t="shared" si="11"/>
        <v>A</v>
      </c>
      <c r="K21" s="114">
        <f t="shared" ca="1" si="12"/>
        <v>1</v>
      </c>
      <c r="L21" s="106" t="s">
        <v>2198</v>
      </c>
      <c r="M21" s="115">
        <v>6</v>
      </c>
      <c r="N21" s="116">
        <v>8</v>
      </c>
      <c r="O21" s="59">
        <v>10</v>
      </c>
      <c r="Q21" s="150" t="s">
        <v>2225</v>
      </c>
      <c r="R21" s="147"/>
      <c r="S21" s="147"/>
      <c r="T21" s="147"/>
      <c r="U21" s="147"/>
      <c r="V21" s="147"/>
      <c r="W21" s="147"/>
      <c r="X21" s="147"/>
    </row>
    <row r="22" spans="1:24" ht="15.75" customHeight="1" x14ac:dyDescent="0.15">
      <c r="F22" s="61" t="s">
        <v>2199</v>
      </c>
      <c r="G22" s="117">
        <v>9</v>
      </c>
      <c r="H22" s="118" t="str">
        <f t="shared" ref="H22:H23" ca="1" si="13">OFFSET($E$1, MATCH($B$11,$A$2:$A$10,0),0)</f>
        <v>I</v>
      </c>
      <c r="I22" s="38">
        <f t="shared" ref="I22:I27" si="14">IF(G22&gt;0,(G22^2+G22+2),0)</f>
        <v>92</v>
      </c>
      <c r="J22" s="119" t="str">
        <f t="shared" ca="1" si="11"/>
        <v>I</v>
      </c>
      <c r="K22" s="120">
        <f t="shared" ref="K22:K25" ca="1" si="15">OFFSET($B$1, MATCH(H22,$E$2:$E$9,0),0)+G22+MIN(CEILING($B$13/2,1),G22)</f>
        <v>23</v>
      </c>
      <c r="L22" s="106" t="s">
        <v>2200</v>
      </c>
      <c r="M22" s="79">
        <f t="shared" ref="M22:O22" ca="1" si="16">IF(M$18="Melee", OFFSET($B$24,0,MATCH(M$20,$C$23:$E$23,0))-M$21,0)</f>
        <v>-1</v>
      </c>
      <c r="N22" s="62">
        <f t="shared" ca="1" si="16"/>
        <v>-2</v>
      </c>
      <c r="O22" s="64">
        <f t="shared" ca="1" si="16"/>
        <v>-2</v>
      </c>
      <c r="Q22" s="147"/>
      <c r="R22" s="147"/>
      <c r="S22" s="147"/>
      <c r="T22" s="147"/>
      <c r="U22" s="147"/>
      <c r="V22" s="147"/>
      <c r="W22" s="147"/>
      <c r="X22" s="147"/>
    </row>
    <row r="23" spans="1:24" ht="15.75" customHeight="1" x14ac:dyDescent="0.15">
      <c r="C23" s="1" t="s">
        <v>2193</v>
      </c>
      <c r="D23" s="1" t="s">
        <v>2194</v>
      </c>
      <c r="E23" s="1" t="s">
        <v>2195</v>
      </c>
      <c r="F23" s="61" t="s">
        <v>2201</v>
      </c>
      <c r="G23" s="52">
        <v>5</v>
      </c>
      <c r="H23" s="62" t="str">
        <f t="shared" ca="1" si="13"/>
        <v>I</v>
      </c>
      <c r="I23" s="53">
        <f t="shared" si="14"/>
        <v>32</v>
      </c>
      <c r="J23" s="63" t="str">
        <f t="shared" ca="1" si="11"/>
        <v>I</v>
      </c>
      <c r="K23" s="120">
        <f t="shared" ca="1" si="15"/>
        <v>19</v>
      </c>
      <c r="L23" s="106" t="s">
        <v>2202</v>
      </c>
      <c r="M23" s="121">
        <f t="shared" ref="M23:O23" si="17">M$21+$B$5</f>
        <v>8</v>
      </c>
      <c r="N23" s="102">
        <f t="shared" si="17"/>
        <v>10</v>
      </c>
      <c r="O23" s="122">
        <f t="shared" si="17"/>
        <v>12</v>
      </c>
      <c r="Q23" s="147"/>
      <c r="R23" s="147"/>
      <c r="S23" s="147"/>
      <c r="T23" s="147"/>
      <c r="U23" s="147"/>
      <c r="V23" s="147"/>
      <c r="W23" s="147"/>
      <c r="X23" s="147"/>
    </row>
    <row r="24" spans="1:24" ht="15.75" customHeight="1" x14ac:dyDescent="0.15">
      <c r="C24" s="1">
        <v>5</v>
      </c>
      <c r="D24" s="1">
        <v>6</v>
      </c>
      <c r="E24" s="1">
        <v>8</v>
      </c>
      <c r="F24" s="61" t="s">
        <v>2203</v>
      </c>
      <c r="G24" s="52">
        <v>0</v>
      </c>
      <c r="H24" s="62" t="s">
        <v>2151</v>
      </c>
      <c r="I24" s="53">
        <f t="shared" si="14"/>
        <v>0</v>
      </c>
      <c r="J24" s="63" t="str">
        <f t="shared" si="11"/>
        <v>A</v>
      </c>
      <c r="K24" s="120">
        <f t="shared" ca="1" si="15"/>
        <v>2</v>
      </c>
      <c r="L24" s="106" t="s">
        <v>2146</v>
      </c>
      <c r="M24" s="121">
        <f t="shared" ref="M24:O24" ca="1" si="18">$K$24+M$22+IF(AND(M$20="2H",M$25="Buckler"),-2,0)</f>
        <v>1</v>
      </c>
      <c r="N24" s="102">
        <f t="shared" ca="1" si="18"/>
        <v>0</v>
      </c>
      <c r="O24" s="122">
        <f t="shared" ca="1" si="18"/>
        <v>0</v>
      </c>
      <c r="Q24" s="147"/>
      <c r="R24" s="147"/>
      <c r="S24" s="147"/>
      <c r="T24" s="147"/>
      <c r="U24" s="147"/>
      <c r="V24" s="147"/>
      <c r="W24" s="147"/>
      <c r="X24" s="147"/>
    </row>
    <row r="25" spans="1:24" ht="15.75" customHeight="1" x14ac:dyDescent="0.15">
      <c r="F25" s="61" t="s">
        <v>2204</v>
      </c>
      <c r="G25" s="52">
        <v>5</v>
      </c>
      <c r="H25" s="62" t="s">
        <v>2161</v>
      </c>
      <c r="I25" s="53">
        <f t="shared" si="14"/>
        <v>32</v>
      </c>
      <c r="J25" s="63" t="str">
        <f t="shared" si="11"/>
        <v>I</v>
      </c>
      <c r="K25" s="120">
        <f t="shared" ca="1" si="15"/>
        <v>19</v>
      </c>
      <c r="L25" s="106" t="s">
        <v>2205</v>
      </c>
      <c r="M25" s="123" t="s">
        <v>2206</v>
      </c>
      <c r="N25" s="124" t="s">
        <v>2206</v>
      </c>
      <c r="O25" s="78" t="s">
        <v>2206</v>
      </c>
      <c r="Q25" s="147"/>
      <c r="R25" s="147"/>
      <c r="S25" s="147"/>
      <c r="T25" s="147"/>
      <c r="U25" s="147"/>
      <c r="V25" s="147"/>
      <c r="W25" s="147"/>
      <c r="X25" s="147"/>
    </row>
    <row r="26" spans="1:24" ht="15.75" customHeight="1" x14ac:dyDescent="0.15">
      <c r="F26" s="61" t="s">
        <v>2136</v>
      </c>
      <c r="G26" s="115">
        <v>7</v>
      </c>
      <c r="H26" s="62" t="s">
        <v>2207</v>
      </c>
      <c r="I26" s="53">
        <f t="shared" si="14"/>
        <v>58</v>
      </c>
      <c r="J26" s="76"/>
      <c r="K26" s="77"/>
      <c r="L26" s="125" t="s">
        <v>2208</v>
      </c>
      <c r="M26" s="80">
        <f t="shared" ref="M26:O26" ca="1" si="19">OFFSET($D$30,MATCH(M$25,$D$26:$D$31,0),0)</f>
        <v>0</v>
      </c>
      <c r="N26" s="93">
        <f t="shared" ca="1" si="19"/>
        <v>0</v>
      </c>
      <c r="O26" s="126">
        <f t="shared" ca="1" si="19"/>
        <v>0</v>
      </c>
      <c r="Q26" s="147"/>
      <c r="R26" s="147"/>
      <c r="S26" s="147"/>
      <c r="T26" s="147"/>
      <c r="U26" s="147"/>
      <c r="V26" s="147"/>
      <c r="W26" s="147"/>
      <c r="X26" s="147"/>
    </row>
    <row r="27" spans="1:24" ht="15.75" customHeight="1" x14ac:dyDescent="0.15">
      <c r="C27" s="1" t="s">
        <v>2206</v>
      </c>
      <c r="D27" s="1" t="s">
        <v>2206</v>
      </c>
      <c r="E27" s="1" t="s">
        <v>2206</v>
      </c>
      <c r="F27" s="110" t="s">
        <v>2209</v>
      </c>
      <c r="G27" s="111">
        <v>5</v>
      </c>
      <c r="H27" s="93" t="s">
        <v>2207</v>
      </c>
      <c r="I27" s="112">
        <f t="shared" si="14"/>
        <v>32</v>
      </c>
      <c r="J27" s="127"/>
      <c r="K27" s="128"/>
      <c r="M27" s="1" t="s">
        <v>2210</v>
      </c>
      <c r="N27" s="1">
        <v>1</v>
      </c>
      <c r="Q27" s="147"/>
      <c r="R27" s="147"/>
      <c r="S27" s="147"/>
      <c r="T27" s="147"/>
      <c r="U27" s="147"/>
      <c r="V27" s="147"/>
      <c r="W27" s="147"/>
      <c r="X27" s="147"/>
    </row>
    <row r="28" spans="1:24" ht="15.75" customHeight="1" x14ac:dyDescent="0.15">
      <c r="B28" s="129" t="s">
        <v>2222</v>
      </c>
      <c r="C28" s="1" t="s">
        <v>2211</v>
      </c>
      <c r="D28" s="1" t="s">
        <v>2211</v>
      </c>
      <c r="E28" s="1" t="s">
        <v>2211</v>
      </c>
      <c r="F28" s="130" t="s">
        <v>2212</v>
      </c>
      <c r="G28" s="108">
        <v>0</v>
      </c>
      <c r="H28" s="41" t="str">
        <f t="shared" ref="H28:H36" si="20">J28</f>
        <v>L</v>
      </c>
      <c r="I28">
        <f t="shared" ref="I28:I36" si="21">IF(G28&gt;0,(G28^2+G28+2),0)/2</f>
        <v>0</v>
      </c>
      <c r="J28" s="99" t="s">
        <v>2139</v>
      </c>
      <c r="K28" s="120">
        <f t="shared" ref="K28:K36" ca="1" si="22">OFFSET($B$1, MATCH(H28,$E$2:$E$9,0),0)+G28+MIN(CEILING($B$13/2,1),G28)</f>
        <v>3</v>
      </c>
      <c r="M28" s="131" t="s">
        <v>2192</v>
      </c>
      <c r="N28" s="132" t="str">
        <f ca="1">OFFSET(L20,0,$N$27)</f>
        <v>Light</v>
      </c>
      <c r="O28" s="133" t="s">
        <v>2213</v>
      </c>
      <c r="Q28" s="147"/>
      <c r="R28" s="147"/>
      <c r="S28" s="147"/>
      <c r="T28" s="147"/>
      <c r="U28" s="147"/>
      <c r="V28" s="147"/>
      <c r="W28" s="147"/>
      <c r="X28" s="147"/>
    </row>
    <row r="29" spans="1:24" ht="15.75" customHeight="1" x14ac:dyDescent="0.15">
      <c r="B29" s="134" t="s">
        <v>2226</v>
      </c>
      <c r="C29" s="1" t="s">
        <v>2214</v>
      </c>
      <c r="D29" s="1" t="s">
        <v>2214</v>
      </c>
      <c r="F29" s="40" t="s">
        <v>2212</v>
      </c>
      <c r="G29" s="116">
        <v>0</v>
      </c>
      <c r="H29" s="41" t="str">
        <f t="shared" si="20"/>
        <v>L</v>
      </c>
      <c r="I29">
        <f t="shared" si="21"/>
        <v>0</v>
      </c>
      <c r="J29" s="135" t="s">
        <v>2139</v>
      </c>
      <c r="K29" s="64">
        <f t="shared" ca="1" si="22"/>
        <v>3</v>
      </c>
      <c r="M29" s="136" t="s">
        <v>2198</v>
      </c>
      <c r="N29" s="122">
        <f ca="1">OFFSET(L21,0,$N$27)-2*(O33&lt;&gt;"None")</f>
        <v>6</v>
      </c>
      <c r="O29" s="137">
        <f ca="1">MAX(0,FLOOR(N30/2,1)-1)*5+5</f>
        <v>5</v>
      </c>
      <c r="Q29" s="147"/>
      <c r="R29" s="147"/>
      <c r="S29" s="147"/>
      <c r="T29" s="147"/>
      <c r="U29" s="147"/>
      <c r="V29" s="147"/>
      <c r="W29" s="147"/>
      <c r="X29" s="147"/>
    </row>
    <row r="30" spans="1:24" ht="15.75" customHeight="1" x14ac:dyDescent="0.15">
      <c r="B30" s="134" t="s">
        <v>2227</v>
      </c>
      <c r="C30" s="1" t="s">
        <v>2215</v>
      </c>
      <c r="D30" s="1" t="s">
        <v>2215</v>
      </c>
      <c r="F30" s="40" t="s">
        <v>2212</v>
      </c>
      <c r="G30" s="116">
        <v>0</v>
      </c>
      <c r="H30" s="41" t="str">
        <f t="shared" si="20"/>
        <v>L</v>
      </c>
      <c r="I30">
        <f t="shared" si="21"/>
        <v>0</v>
      </c>
      <c r="J30" s="135" t="s">
        <v>2139</v>
      </c>
      <c r="K30" s="64">
        <f t="shared" ca="1" si="22"/>
        <v>3</v>
      </c>
      <c r="M30" s="136" t="s">
        <v>2200</v>
      </c>
      <c r="N30" s="105">
        <f ca="1">OFFSET(L22,0,$N$27)+O31</f>
        <v>0</v>
      </c>
      <c r="O30" s="47" t="s">
        <v>2216</v>
      </c>
    </row>
    <row r="31" spans="1:24" ht="15.75" customHeight="1" x14ac:dyDescent="0.15">
      <c r="A31" s="41"/>
      <c r="B31" s="134" t="s">
        <v>2228</v>
      </c>
      <c r="C31" s="1" t="s">
        <v>2217</v>
      </c>
      <c r="D31" s="1" t="s">
        <v>2217</v>
      </c>
      <c r="F31" s="40" t="s">
        <v>2212</v>
      </c>
      <c r="G31" s="116">
        <v>0</v>
      </c>
      <c r="H31" s="41" t="str">
        <f t="shared" si="20"/>
        <v>L</v>
      </c>
      <c r="I31">
        <f t="shared" si="21"/>
        <v>0</v>
      </c>
      <c r="J31" s="135" t="s">
        <v>2139</v>
      </c>
      <c r="K31" s="64">
        <f t="shared" ca="1" si="22"/>
        <v>3</v>
      </c>
      <c r="M31" s="136" t="s">
        <v>2202</v>
      </c>
      <c r="N31" s="138">
        <f t="shared" ref="N31:N34" ca="1" si="23">OFFSET(L23,0,$N$27)</f>
        <v>8</v>
      </c>
      <c r="O31" s="139">
        <v>1</v>
      </c>
      <c r="Q31" s="150" t="s">
        <v>2229</v>
      </c>
      <c r="R31" s="147"/>
      <c r="S31" s="147"/>
      <c r="T31" s="147"/>
      <c r="U31" s="147"/>
      <c r="V31" s="147"/>
      <c r="W31" s="147"/>
      <c r="X31" s="147"/>
    </row>
    <row r="32" spans="1:24" ht="15.75" customHeight="1" x14ac:dyDescent="0.15">
      <c r="A32" s="41"/>
      <c r="B32" s="134"/>
      <c r="C32" t="str">
        <f t="shared" ref="C32:C36" ca="1" si="24">OFFSET(B27,0,MATCH($M$20,$C$23:$E$23,0))</f>
        <v>None</v>
      </c>
      <c r="D32" s="1">
        <v>0</v>
      </c>
      <c r="F32" s="40" t="s">
        <v>2212</v>
      </c>
      <c r="G32" s="116">
        <v>0</v>
      </c>
      <c r="H32" s="41" t="str">
        <f t="shared" si="20"/>
        <v>I</v>
      </c>
      <c r="I32">
        <f t="shared" si="21"/>
        <v>0</v>
      </c>
      <c r="J32" s="135" t="s">
        <v>2161</v>
      </c>
      <c r="K32" s="64">
        <f t="shared" ca="1" si="22"/>
        <v>9</v>
      </c>
      <c r="M32" s="136" t="s">
        <v>2146</v>
      </c>
      <c r="N32" s="122">
        <f t="shared" ca="1" si="23"/>
        <v>1</v>
      </c>
      <c r="O32" s="133" t="s">
        <v>2218</v>
      </c>
      <c r="Q32" s="147"/>
      <c r="R32" s="147"/>
      <c r="S32" s="147"/>
      <c r="T32" s="147"/>
      <c r="U32" s="147"/>
      <c r="V32" s="147"/>
      <c r="W32" s="147"/>
      <c r="X32" s="147"/>
    </row>
    <row r="33" spans="1:24" ht="15.75" customHeight="1" x14ac:dyDescent="0.15">
      <c r="A33" s="41"/>
      <c r="B33" s="134"/>
      <c r="C33" t="str">
        <f t="shared" ca="1" si="24"/>
        <v>Buckler</v>
      </c>
      <c r="D33" s="1">
        <v>1</v>
      </c>
      <c r="F33" s="40" t="s">
        <v>2212</v>
      </c>
      <c r="G33" s="116">
        <v>0</v>
      </c>
      <c r="H33" s="41" t="str">
        <f t="shared" si="20"/>
        <v>I</v>
      </c>
      <c r="I33">
        <f t="shared" si="21"/>
        <v>0</v>
      </c>
      <c r="J33" s="135" t="s">
        <v>2161</v>
      </c>
      <c r="K33" s="64">
        <f t="shared" ca="1" si="22"/>
        <v>9</v>
      </c>
      <c r="M33" s="136" t="s">
        <v>2205</v>
      </c>
      <c r="N33" s="64" t="str">
        <f t="shared" ca="1" si="23"/>
        <v>None</v>
      </c>
      <c r="O33" s="140" t="s">
        <v>2206</v>
      </c>
      <c r="Q33" s="147"/>
      <c r="R33" s="147"/>
      <c r="S33" s="147"/>
      <c r="T33" s="147"/>
      <c r="U33" s="147"/>
      <c r="V33" s="147"/>
      <c r="W33" s="147"/>
      <c r="X33" s="147"/>
    </row>
    <row r="34" spans="1:24" ht="15.75" customHeight="1" x14ac:dyDescent="0.15">
      <c r="A34" s="41"/>
      <c r="B34" s="134"/>
      <c r="C34" t="str">
        <f t="shared" ca="1" si="24"/>
        <v>Medium</v>
      </c>
      <c r="D34" s="1">
        <v>4</v>
      </c>
      <c r="F34" s="40" t="s">
        <v>2212</v>
      </c>
      <c r="G34" s="116">
        <v>0</v>
      </c>
      <c r="H34" s="41" t="str">
        <f t="shared" si="20"/>
        <v>I</v>
      </c>
      <c r="I34">
        <f t="shared" si="21"/>
        <v>0</v>
      </c>
      <c r="J34" s="135" t="s">
        <v>2161</v>
      </c>
      <c r="K34" s="64">
        <f t="shared" ca="1" si="22"/>
        <v>9</v>
      </c>
      <c r="M34" s="141" t="s">
        <v>2208</v>
      </c>
      <c r="N34" s="126">
        <f t="shared" ca="1" si="23"/>
        <v>0</v>
      </c>
      <c r="Q34" s="147"/>
      <c r="R34" s="147"/>
      <c r="S34" s="147"/>
      <c r="T34" s="147"/>
      <c r="U34" s="147"/>
      <c r="V34" s="147"/>
      <c r="W34" s="147"/>
      <c r="X34" s="147"/>
    </row>
    <row r="35" spans="1:24" ht="15.75" customHeight="1" x14ac:dyDescent="0.15">
      <c r="B35" s="134"/>
      <c r="C35" t="str">
        <f t="shared" ca="1" si="24"/>
        <v>Heavy</v>
      </c>
      <c r="D35" s="1">
        <v>5</v>
      </c>
      <c r="F35" s="40" t="s">
        <v>2212</v>
      </c>
      <c r="G35" s="116">
        <v>0</v>
      </c>
      <c r="H35" s="41" t="str">
        <f t="shared" si="20"/>
        <v>I</v>
      </c>
      <c r="I35">
        <f t="shared" si="21"/>
        <v>0</v>
      </c>
      <c r="J35" s="135" t="s">
        <v>2161</v>
      </c>
      <c r="K35" s="64">
        <f t="shared" ca="1" si="22"/>
        <v>9</v>
      </c>
      <c r="Q35" s="147"/>
      <c r="R35" s="147"/>
      <c r="S35" s="147"/>
      <c r="T35" s="147"/>
      <c r="U35" s="147"/>
      <c r="V35" s="147"/>
      <c r="W35" s="147"/>
      <c r="X35" s="147"/>
    </row>
    <row r="36" spans="1:24" ht="15.75" customHeight="1" x14ac:dyDescent="0.15">
      <c r="B36" s="142"/>
      <c r="C36" t="str">
        <f t="shared" ca="1" si="24"/>
        <v>Tower</v>
      </c>
      <c r="D36" s="1">
        <v>7</v>
      </c>
      <c r="F36" s="143" t="s">
        <v>2212</v>
      </c>
      <c r="G36" s="144">
        <v>0</v>
      </c>
      <c r="H36" s="41" t="str">
        <f t="shared" si="20"/>
        <v>I</v>
      </c>
      <c r="I36">
        <f t="shared" si="21"/>
        <v>0</v>
      </c>
      <c r="J36" s="145" t="s">
        <v>2161</v>
      </c>
      <c r="K36" s="126">
        <f t="shared" ca="1" si="22"/>
        <v>9</v>
      </c>
      <c r="Q36" s="147"/>
      <c r="R36" s="147"/>
      <c r="S36" s="147"/>
      <c r="T36" s="147"/>
      <c r="U36" s="147"/>
      <c r="V36" s="147"/>
      <c r="W36" s="147"/>
      <c r="X36" s="147"/>
    </row>
    <row r="37" spans="1:24" ht="15.75" customHeight="1" x14ac:dyDescent="0.15">
      <c r="B37" s="41"/>
      <c r="C37" s="41"/>
      <c r="D37" s="41"/>
      <c r="E37" s="41"/>
      <c r="F37" s="41"/>
      <c r="G37" s="41"/>
      <c r="Q37" s="147"/>
      <c r="R37" s="147"/>
      <c r="S37" s="147"/>
      <c r="T37" s="147"/>
      <c r="U37" s="147"/>
      <c r="V37" s="147"/>
      <c r="W37" s="147"/>
      <c r="X37" s="147"/>
    </row>
    <row r="38" spans="1:24" ht="15.75" customHeight="1" x14ac:dyDescent="0.15">
      <c r="B38" s="41"/>
      <c r="C38" s="41"/>
      <c r="D38" s="41"/>
      <c r="E38" s="41"/>
      <c r="F38" s="41"/>
      <c r="G38" s="41"/>
      <c r="Q38" s="147"/>
      <c r="R38" s="147"/>
      <c r="S38" s="147"/>
      <c r="T38" s="147"/>
      <c r="U38" s="147"/>
      <c r="V38" s="147"/>
      <c r="W38" s="147"/>
      <c r="X38" s="147"/>
    </row>
    <row r="39" spans="1:24" ht="15.75" customHeight="1" x14ac:dyDescent="0.15">
      <c r="B39" s="41" t="s">
        <v>2219</v>
      </c>
      <c r="C39" s="41"/>
      <c r="D39" s="41"/>
      <c r="E39" s="41"/>
      <c r="F39" s="41"/>
      <c r="G39" s="41"/>
      <c r="Q39" s="147"/>
      <c r="R39" s="147"/>
      <c r="S39" s="147"/>
      <c r="T39" s="147"/>
      <c r="U39" s="147"/>
      <c r="V39" s="147"/>
      <c r="W39" s="147"/>
      <c r="X39" s="147"/>
    </row>
    <row r="40" spans="1:24" ht="15.75" customHeight="1" x14ac:dyDescent="0.15">
      <c r="A40" s="41" t="s">
        <v>2141</v>
      </c>
      <c r="B40" s="151" t="s">
        <v>2127</v>
      </c>
      <c r="C40" s="147"/>
      <c r="D40" s="147"/>
      <c r="E40" s="147"/>
      <c r="F40" s="147"/>
      <c r="G40" s="41" t="s">
        <v>2140</v>
      </c>
      <c r="J40" s="41" t="s">
        <v>2220</v>
      </c>
    </row>
    <row r="41" spans="1:24" ht="15.75" customHeight="1" x14ac:dyDescent="0.15">
      <c r="A41" s="146">
        <v>1</v>
      </c>
      <c r="B41" s="149" t="s">
        <v>1274</v>
      </c>
      <c r="C41" s="147"/>
      <c r="D41" s="147"/>
      <c r="E41" s="147"/>
      <c r="F41" s="147"/>
      <c r="G41" s="41">
        <f ca="1">IFERROR(OFFSET(Abilities!$N$1,MATCH(B41,Abilities!C:C,0)-1,A41),0)</f>
        <v>3</v>
      </c>
      <c r="J41" s="41" t="str">
        <f ca="1">OFFSET(Abilities!$N$1,MATCH(B41,Abilities!C:C,0)-1,-7)</f>
        <v>3U,(6)</v>
      </c>
      <c r="K41" s="1" t="str">
        <f ca="1">OFFSET(Abilities!$N$1,MATCH(B41,Abilities!C:C,0)-1,-12)</f>
        <v>Passive</v>
      </c>
      <c r="L41" s="148" t="str">
        <f ca="1">OFFSET(Abilities!$N$1,MATCH(B41,Abilities!C:C,0)-1,-9)</f>
        <v>Gain 2 dice on knowledge checks to remember something. You may recall additional relevant details by prompting the GM for a clearer picture of a memory, subject to GM discretion. Rolling memory is now faster (typically a Extra action).</v>
      </c>
      <c r="M41" s="147"/>
      <c r="N41" s="147"/>
      <c r="O41" s="147"/>
      <c r="P41" s="147"/>
      <c r="Q41" s="147"/>
      <c r="R41" s="147"/>
      <c r="S41" s="147"/>
      <c r="T41" s="147"/>
      <c r="U41" s="147"/>
      <c r="V41" s="147"/>
      <c r="W41" s="147"/>
      <c r="X41" s="147"/>
    </row>
    <row r="42" spans="1:24" ht="15.75" customHeight="1" x14ac:dyDescent="0.15">
      <c r="A42" s="146">
        <v>1</v>
      </c>
      <c r="B42" s="149" t="s">
        <v>840</v>
      </c>
      <c r="C42" s="147"/>
      <c r="D42" s="147"/>
      <c r="E42" s="147"/>
      <c r="F42" s="147"/>
      <c r="G42" s="41">
        <f ca="1">IFERROR(OFFSET(Abilities!$N$1,MATCH(B42,Abilities!C:C,0)-1,A42),0)</f>
        <v>5</v>
      </c>
      <c r="J42" s="41" t="str">
        <f ca="1">OFFSET(Abilities!$N$1,MATCH(B42,Abilities!C:C,0)-1,-7)</f>
        <v xml:space="preserve">7(U|R),(9)
</v>
      </c>
      <c r="K42" s="1" t="str">
        <f ca="1">OFFSET(Abilities!$N$1,MATCH(B42,Abilities!C:C,0)-1,-12)</f>
        <v>Manuever</v>
      </c>
      <c r="L42" s="148" t="str">
        <f ca="1">OFFSET(Abilities!$N$1,MATCH(B42,Abilities!C:C,0)-1,-9)</f>
        <v>You may attempt to fix or break mechanical and/or magical devices such as locks or crystal balls.  Who knows what will happen! (needs actual rules ffs)</v>
      </c>
      <c r="M42" s="147"/>
      <c r="N42" s="147"/>
      <c r="O42" s="147"/>
      <c r="P42" s="147"/>
      <c r="Q42" s="147"/>
      <c r="R42" s="147"/>
      <c r="S42" s="147"/>
      <c r="T42" s="147"/>
      <c r="U42" s="147"/>
      <c r="V42" s="147"/>
      <c r="W42" s="147"/>
      <c r="X42" s="147"/>
    </row>
    <row r="43" spans="1:24" ht="15.75" customHeight="1" x14ac:dyDescent="0.15">
      <c r="A43" s="146">
        <v>1</v>
      </c>
      <c r="B43" s="149" t="s">
        <v>1386</v>
      </c>
      <c r="C43" s="147"/>
      <c r="D43" s="147"/>
      <c r="E43" s="147"/>
      <c r="F43" s="147"/>
      <c r="G43" s="41">
        <f ca="1">IFERROR(OFFSET(Abilities!$N$1,MATCH(B43,Abilities!C:C,0)-1,A43),0)</f>
        <v>3</v>
      </c>
      <c r="J43" s="41" t="str">
        <f ca="1">OFFSET(Abilities!$N$1,MATCH(B43,Abilities!C:C,0)-1,-7)</f>
        <v xml:space="preserve">1R,(3)
</v>
      </c>
      <c r="K43" s="1" t="str">
        <f ca="1">OFFSET(Abilities!$N$1,MATCH(B43,Abilities!C:C,0)-1,-12)</f>
        <v>Passive</v>
      </c>
      <c r="L43" s="148" t="str">
        <f ca="1">OFFSET(Abilities!$N$1,MATCH(B43,Abilities!C:C,0)-1,-9)</f>
        <v>You can contort and deform your body to fit in/through spaces smaller than normal.</v>
      </c>
      <c r="M43" s="147"/>
      <c r="N43" s="147"/>
      <c r="O43" s="147"/>
      <c r="P43" s="147"/>
      <c r="Q43" s="147"/>
      <c r="R43" s="147"/>
      <c r="S43" s="147"/>
      <c r="T43" s="147"/>
      <c r="U43" s="147"/>
      <c r="V43" s="147"/>
      <c r="W43" s="147"/>
      <c r="X43" s="147"/>
    </row>
    <row r="44" spans="1:24" ht="15.75" customHeight="1" x14ac:dyDescent="0.15">
      <c r="A44" s="146">
        <v>1</v>
      </c>
      <c r="B44" s="149" t="s">
        <v>1447</v>
      </c>
      <c r="C44" s="147"/>
      <c r="D44" s="147"/>
      <c r="E44" s="147"/>
      <c r="F44" s="147"/>
      <c r="G44" s="41">
        <f ca="1">IFERROR(OFFSET(Abilities!$N$1,MATCH(B44,Abilities!C:C,0)-1,A44),0)</f>
        <v>5</v>
      </c>
      <c r="J44" s="41" t="str">
        <f ca="1">OFFSET(Abilities!$N$1,MATCH(B44,Abilities!C:C,0)-1,-7)</f>
        <v>7(U|G),(9)</v>
      </c>
      <c r="K44" s="1" t="str">
        <f ca="1">OFFSET(Abilities!$N$1,MATCH(B44,Abilities!C:C,0)-1,-12)</f>
        <v>Passive</v>
      </c>
      <c r="L44" s="148" t="str">
        <f ca="1">OFFSET(Abilities!$N$1,MATCH(B44,Abilities!C:C,0)-1,-9)</f>
        <v>You can walk on water as if it were solid ground</v>
      </c>
      <c r="M44" s="147"/>
      <c r="N44" s="147"/>
      <c r="O44" s="147"/>
      <c r="P44" s="147"/>
      <c r="Q44" s="147"/>
      <c r="R44" s="147"/>
      <c r="S44" s="147"/>
      <c r="T44" s="147"/>
      <c r="U44" s="147"/>
      <c r="V44" s="147"/>
      <c r="W44" s="147"/>
      <c r="X44" s="147"/>
    </row>
    <row r="45" spans="1:24" ht="15.75" customHeight="1" x14ac:dyDescent="0.15">
      <c r="A45" s="146">
        <v>1</v>
      </c>
      <c r="B45" s="149" t="s">
        <v>732</v>
      </c>
      <c r="C45" s="147"/>
      <c r="D45" s="147"/>
      <c r="E45" s="147"/>
      <c r="F45" s="147"/>
      <c r="G45" s="41">
        <f ca="1">IFERROR(OFFSET(Abilities!$N$1,MATCH(B45,Abilities!C:C,0)-1,A45),0)</f>
        <v>4</v>
      </c>
      <c r="J45" s="41" t="str">
        <f ca="1">OFFSET(Abilities!$N$1,MATCH(B45,Abilities!C:C,0)-1,-7)</f>
        <v>2(R|G),(3)</v>
      </c>
      <c r="K45" s="1" t="str">
        <f ca="1">OFFSET(Abilities!$N$1,MATCH(B45,Abilities!C:C,0)-1,-12)</f>
        <v>Maneuver</v>
      </c>
      <c r="L45" s="148" t="str">
        <f ca="1">OFFSET(Abilities!$N$1,MATCH(B45,Abilities!C:C,0)-1,-9)</f>
        <v>Stand up as Extra action that does not provoke attacks of opportunity. All your jumps are treated as having a running start.</v>
      </c>
      <c r="M45" s="147"/>
      <c r="N45" s="147"/>
      <c r="O45" s="147"/>
      <c r="P45" s="147"/>
      <c r="Q45" s="147"/>
      <c r="R45" s="147"/>
      <c r="S45" s="147"/>
      <c r="T45" s="147"/>
      <c r="U45" s="147"/>
      <c r="V45" s="147"/>
      <c r="W45" s="147"/>
      <c r="X45" s="147"/>
    </row>
    <row r="46" spans="1:24" ht="15.75" customHeight="1" x14ac:dyDescent="0.15">
      <c r="A46" s="146">
        <v>1</v>
      </c>
      <c r="B46" s="149" t="s">
        <v>1364</v>
      </c>
      <c r="C46" s="147"/>
      <c r="D46" s="147"/>
      <c r="E46" s="147"/>
      <c r="F46" s="147"/>
      <c r="G46" s="41">
        <f ca="1">IFERROR(OFFSET(Abilities!$N$1,MATCH(B46,Abilities!C:C,0)-1,A46),0)</f>
        <v>10</v>
      </c>
      <c r="J46" s="41" t="str">
        <f ca="1">OFFSET(Abilities!$N$1,MATCH(B46,Abilities!C:C,0)-1,-7)</f>
        <v>9(G|R),(12)</v>
      </c>
      <c r="K46" s="1" t="str">
        <f ca="1">OFFSET(Abilities!$N$1,MATCH(B46,Abilities!C:C,0)-1,-12)</f>
        <v>Passive</v>
      </c>
      <c r="L46" s="148" t="str">
        <f ca="1">OFFSET(Abilities!$N$1,MATCH(B46,Abilities!C:C,0)-1,-9)</f>
        <v>You can walk on walls as easily as ground. Climb checks are still required, thresholds are lowered.</v>
      </c>
      <c r="M46" s="147"/>
      <c r="N46" s="147"/>
      <c r="O46" s="147"/>
      <c r="P46" s="147"/>
      <c r="Q46" s="147"/>
      <c r="R46" s="147"/>
      <c r="S46" s="147"/>
      <c r="T46" s="147"/>
      <c r="U46" s="147"/>
      <c r="V46" s="147"/>
      <c r="W46" s="147"/>
      <c r="X46" s="147"/>
    </row>
    <row r="47" spans="1:24" ht="15.75" customHeight="1" x14ac:dyDescent="0.15">
      <c r="A47" s="146">
        <v>1</v>
      </c>
      <c r="B47" s="149" t="s">
        <v>1003</v>
      </c>
      <c r="C47" s="147"/>
      <c r="D47" s="147"/>
      <c r="E47" s="147"/>
      <c r="F47" s="147"/>
      <c r="G47" s="41">
        <f ca="1">IFERROR(OFFSET(Abilities!$N$1,MATCH(B47,Abilities!C:C,0)-1,A47),0)</f>
        <v>5</v>
      </c>
      <c r="J47" s="41" t="str">
        <f ca="1">OFFSET(Abilities!$N$1,MATCH(B47,Abilities!C:C,0)-1,-7)</f>
        <v xml:space="preserve">4R,3(U|R|G),(9)
</v>
      </c>
      <c r="K47" s="1" t="str">
        <f ca="1">OFFSET(Abilities!$N$1,MATCH(B47,Abilities!C:C,0)-1,-12)</f>
        <v>Passive</v>
      </c>
      <c r="L47" s="148" t="str">
        <f ca="1">OFFSET(Abilities!$N$1,MATCH(B47,Abilities!C:C,0)-1,-9)</f>
        <v>As a standard action, you may pull out any half non-magical inanimate object (rope, candle, etc).  You may have up to a total of 3 spontaneously generated items at a time; these items may be returned to the sack and exchanged.  Items spontaneously created are entirely mundane items posessing no magical properties.  Should a spontaneously generated item be unreturned to the sack there is a 24 hour period before that use is restored. Ability to pull out various low value items without specifically having them in inventory, representing character's collection of useful odds and ends. Pull out an item based on hits: 1. basic object 2. half item 4. full item 5. exotic substance
Dicepool of LOG+INT+3</v>
      </c>
      <c r="M47" s="147"/>
      <c r="N47" s="147"/>
      <c r="O47" s="147"/>
      <c r="P47" s="147"/>
      <c r="Q47" s="147"/>
      <c r="R47" s="147"/>
      <c r="S47" s="147"/>
      <c r="T47" s="147"/>
      <c r="U47" s="147"/>
      <c r="V47" s="147"/>
      <c r="W47" s="147"/>
      <c r="X47" s="147"/>
    </row>
    <row r="48" spans="1:24" ht="15.75" customHeight="1" x14ac:dyDescent="0.15">
      <c r="A48" s="146">
        <v>1</v>
      </c>
      <c r="B48" s="149" t="s">
        <v>1183</v>
      </c>
      <c r="C48" s="147"/>
      <c r="D48" s="147"/>
      <c r="E48" s="147"/>
      <c r="F48" s="147"/>
      <c r="G48" s="41">
        <f ca="1">IFERROR(OFFSET(Abilities!$N$1,MATCH(B48,Abilities!C:C,0)-1,A48),0)</f>
        <v>5</v>
      </c>
      <c r="J48" s="41" t="str">
        <f ca="1">OFFSET(Abilities!$N$1,MATCH(B48,Abilities!C:C,0)-1,-7)</f>
        <v>4(U|R),(6)</v>
      </c>
      <c r="K48" s="1" t="str">
        <f ca="1">OFFSET(Abilities!$N$1,MATCH(B48,Abilities!C:C,0)-1,-12)</f>
        <v>Passive</v>
      </c>
      <c r="L48" s="148" t="str">
        <f ca="1">OFFSET(Abilities!$N$1,MATCH(B48,Abilities!C:C,0)-1,-9)</f>
        <v>You may make a legerdemain check to make games of chance end in your favor.  Gain +4 dice to these checks, you may spend a luck point to ensure a victory.  Additionally, you may spend a point of luck to win a bet limited to gambling such as betting on a fight or race.  May apply circumstance bonuses at the GMs discretion.</v>
      </c>
      <c r="M48" s="147"/>
      <c r="N48" s="147"/>
      <c r="O48" s="147"/>
      <c r="P48" s="147"/>
      <c r="Q48" s="147"/>
      <c r="R48" s="147"/>
      <c r="S48" s="147"/>
      <c r="T48" s="147"/>
      <c r="U48" s="147"/>
      <c r="V48" s="147"/>
      <c r="W48" s="147"/>
      <c r="X48" s="147"/>
    </row>
    <row r="49" spans="1:24" ht="15.75" customHeight="1" x14ac:dyDescent="0.15">
      <c r="A49" s="146">
        <v>3</v>
      </c>
      <c r="B49" s="149" t="s">
        <v>348</v>
      </c>
      <c r="C49" s="147"/>
      <c r="D49" s="147"/>
      <c r="E49" s="147"/>
      <c r="F49" s="147"/>
      <c r="G49" s="41">
        <f ca="1">IFERROR(OFFSET(Abilities!$N$1,MATCH(B49,Abilities!C:C,0)-1,A49),0)</f>
        <v>135</v>
      </c>
      <c r="J49" s="41" t="str">
        <f ca="1">OFFSET(Abilities!$N$1,MATCH(B49,Abilities!C:C,0)-1,-7)</f>
        <v xml:space="preserve">7U,(15)
10U,(21)
13U,(27)
</v>
      </c>
      <c r="K49" s="1" t="str">
        <f ca="1">OFFSET(Abilities!$N$1,MATCH(B49,Abilities!C:C,0)-1,-12)</f>
        <v>Maneuver</v>
      </c>
      <c r="L49" s="148" t="str">
        <f ca="1">OFFSET(Abilities!$N$1,MATCH(B49,Abilities!C:C,0)-1,-9)</f>
        <v>Extra action, teleport up to your 30ft to a square within line of sight. The next use of this ability costs 10/1/0 more stamina. The stamina cost of this ability decreases by 1 at the end of the round.</v>
      </c>
      <c r="M49" s="147"/>
      <c r="N49" s="147"/>
      <c r="O49" s="147"/>
      <c r="P49" s="147"/>
      <c r="Q49" s="147"/>
      <c r="R49" s="147"/>
      <c r="S49" s="147"/>
      <c r="T49" s="147"/>
      <c r="U49" s="147"/>
      <c r="V49" s="147"/>
      <c r="W49" s="147"/>
      <c r="X49" s="147"/>
    </row>
    <row r="50" spans="1:24" ht="15.75" customHeight="1" x14ac:dyDescent="0.15">
      <c r="A50" s="146">
        <v>1</v>
      </c>
      <c r="B50" s="149" t="s">
        <v>708</v>
      </c>
      <c r="C50" s="147"/>
      <c r="D50" s="147"/>
      <c r="E50" s="147"/>
      <c r="F50" s="147"/>
      <c r="G50" s="41">
        <f ca="1">IFERROR(OFFSET(Abilities!$N$1,MATCH(B50,Abilities!C:C,0)-1,A50),0)</f>
        <v>5</v>
      </c>
      <c r="J50" s="41" t="str">
        <f ca="1">OFFSET(Abilities!$N$1,MATCH(B50,Abilities!C:C,0)-1,-7)</f>
        <v xml:space="preserve">9U,(18)
</v>
      </c>
      <c r="K50" s="1" t="str">
        <f ca="1">OFFSET(Abilities!$N$1,MATCH(B50,Abilities!C:C,0)-1,-12)</f>
        <v>Maneuver</v>
      </c>
      <c r="L50" s="148" t="str">
        <f ca="1">OFFSET(Abilities!$N$1,MATCH(B50,Abilities!C:C,0)-1,-9)</f>
        <v>spend an additional (5) as part of a dodge. Gain +5 dice, after resolving the dodge you may trigger one of your Extra action teleportation abilities as a nonaction.</v>
      </c>
      <c r="M50" s="147"/>
      <c r="N50" s="147"/>
      <c r="O50" s="147"/>
      <c r="P50" s="147"/>
      <c r="Q50" s="147"/>
      <c r="R50" s="147"/>
      <c r="S50" s="147"/>
      <c r="T50" s="147"/>
      <c r="U50" s="147"/>
      <c r="V50" s="147"/>
      <c r="W50" s="147"/>
      <c r="X50" s="147"/>
    </row>
    <row r="51" spans="1:24" ht="15.75" customHeight="1" x14ac:dyDescent="0.15">
      <c r="A51" s="146">
        <v>1</v>
      </c>
      <c r="B51" s="149" t="s">
        <v>619</v>
      </c>
      <c r="C51" s="147"/>
      <c r="D51" s="147"/>
      <c r="E51" s="147"/>
      <c r="F51" s="147"/>
      <c r="G51" s="41">
        <f ca="1">IFERROR(OFFSET(Abilities!$N$1,MATCH(B51,Abilities!C:C,0)-1,A51),0)</f>
        <v>20</v>
      </c>
      <c r="J51" s="41" t="str">
        <f ca="1">OFFSET(Abilities!$N$1,MATCH(B51,Abilities!C:C,0)-1,-7)</f>
        <v xml:space="preserve">6U,(12)
9U,(18)
12U,(24)
15U,(30)
</v>
      </c>
      <c r="K51" s="1" t="str">
        <f ca="1">OFFSET(Abilities!$N$1,MATCH(B51,Abilities!C:C,0)-1,-12)</f>
        <v>Maneuver</v>
      </c>
      <c r="L51" s="148" t="str">
        <f ca="1">OFFSET(Abilities!$N$1,MATCH(B51,Abilities!C:C,0)-1,-9)</f>
        <v>As a half action you may fully pass through thin materials and structures up to a few inches thick. Lead and other specific materials cannot be so bypassed. This increases the cost of subsequent phasings by 10 stamina, this cost decays by 1 at the end of each round down to a minimum of 0.
_____________________________________
As previous rank, except you may pass through up to a foot in thickness. Cost increase is 8 instead of 10
_____________________________________
As previous rank, except you may pass through up to 10'. Cost increase is 6 instead of 8
_____________________________________
As previous rank, except the cost increase is 4 instead of 6.
With all ranks, if you fail to fully traverse when phasing you are shunted back out to where you started, taking 2 lethal per foot of distance so displaced (rounded up).</v>
      </c>
      <c r="M51" s="147"/>
      <c r="N51" s="147"/>
      <c r="O51" s="147"/>
      <c r="P51" s="147"/>
      <c r="Q51" s="147"/>
      <c r="R51" s="147"/>
      <c r="S51" s="147"/>
      <c r="T51" s="147"/>
      <c r="U51" s="147"/>
      <c r="V51" s="147"/>
      <c r="W51" s="147"/>
      <c r="X51" s="147"/>
    </row>
    <row r="52" spans="1:24" ht="15.75" customHeight="1" x14ac:dyDescent="0.15">
      <c r="A52" s="146">
        <v>1</v>
      </c>
      <c r="B52" s="149" t="s">
        <v>399</v>
      </c>
      <c r="C52" s="147"/>
      <c r="D52" s="147"/>
      <c r="E52" s="147"/>
      <c r="F52" s="147"/>
      <c r="G52" s="41">
        <f ca="1">IFERROR(OFFSET(Abilities!$N$1,MATCH(B52,Abilities!C:C,0)-1,A52),0)</f>
        <v>5</v>
      </c>
      <c r="J52" s="41" t="str">
        <f ca="1">OFFSET(Abilities!$N$1,MATCH(B52,Abilities!C:C,0)-1,-7)</f>
        <v>7U,(9)</v>
      </c>
      <c r="K52" s="1" t="str">
        <f ca="1">OFFSET(Abilities!$N$1,MATCH(B52,Abilities!C:C,0)-1,-12)</f>
        <v>Maneuver</v>
      </c>
      <c r="L52" s="148" t="str">
        <f ca="1">OFFSET(Abilities!$N$1,MATCH(B52,Abilities!C:C,0)-1,-9)</f>
        <v>(10) as interrupt, attempt to counter a spell. Roll Cast stat + spellcasting skill + other bonuses vs. the spellcaster's roll in place of a normal resistance check.</v>
      </c>
      <c r="M52" s="147"/>
      <c r="N52" s="147"/>
      <c r="O52" s="147"/>
      <c r="P52" s="147"/>
      <c r="Q52" s="147"/>
      <c r="R52" s="147"/>
      <c r="S52" s="147"/>
      <c r="T52" s="147"/>
      <c r="U52" s="147"/>
      <c r="V52" s="147"/>
      <c r="W52" s="147"/>
      <c r="X52" s="147"/>
    </row>
    <row r="53" spans="1:24" ht="15.75" customHeight="1" x14ac:dyDescent="0.15">
      <c r="A53" s="146">
        <v>1</v>
      </c>
      <c r="B53" s="149" t="s">
        <v>509</v>
      </c>
      <c r="C53" s="147"/>
      <c r="D53" s="147"/>
      <c r="E53" s="147"/>
      <c r="F53" s="147"/>
      <c r="G53" s="41">
        <f ca="1">IFERROR(OFFSET(Abilities!$N$1,MATCH(B53,Abilities!C:C,0)-1,A53),0)</f>
        <v>5</v>
      </c>
      <c r="J53" s="41" t="str">
        <f ca="1">OFFSET(Abilities!$N$1,MATCH(B53,Abilities!C:C,0)-1,-7)</f>
        <v xml:space="preserve">6U,6R,(15)
</v>
      </c>
      <c r="K53" s="1" t="str">
        <f ca="1">OFFSET(Abilities!$N$1,MATCH(B53,Abilities!C:C,0)-1,-12)</f>
        <v>Maneuver</v>
      </c>
      <c r="L53" s="148" t="str">
        <f ca="1">OFFSET(Abilities!$N$1,MATCH(B53,Abilities!C:C,0)-1,-9)</f>
        <v>Flip a coin before rolling initiative. If heads, gain +1 init die this round. If tails, -1 init die this round.</v>
      </c>
      <c r="M53" s="147"/>
      <c r="N53" s="147"/>
      <c r="O53" s="147"/>
      <c r="P53" s="147"/>
      <c r="Q53" s="147"/>
      <c r="R53" s="147"/>
      <c r="S53" s="147"/>
      <c r="T53" s="147"/>
      <c r="U53" s="147"/>
      <c r="V53" s="147"/>
      <c r="W53" s="147"/>
      <c r="X53" s="147"/>
    </row>
    <row r="54" spans="1:24" ht="15.75" customHeight="1" x14ac:dyDescent="0.15">
      <c r="A54" s="146">
        <v>1</v>
      </c>
      <c r="B54" s="149" t="s">
        <v>375</v>
      </c>
      <c r="C54" s="147"/>
      <c r="D54" s="147"/>
      <c r="E54" s="147"/>
      <c r="F54" s="147"/>
      <c r="G54" s="41">
        <f ca="1">IFERROR(OFFSET(Abilities!$N$1,MATCH(B54,Abilities!C:C,0)-1,A54),0)</f>
        <v>20</v>
      </c>
      <c r="J54" s="41" t="str">
        <f ca="1">OFFSET(Abilities!$N$1,MATCH(B54,Abilities!C:C,0)-1,-7)</f>
        <v>7R,(9)</v>
      </c>
      <c r="K54" s="1" t="str">
        <f ca="1">OFFSET(Abilities!$N$1,MATCH(B54,Abilities!C:C,0)-1,-12)</f>
        <v>Maneuver</v>
      </c>
      <c r="L54" s="148" t="str">
        <f ca="1">OFFSET(Abilities!$N$1,MATCH(B54,Abilities!C:C,0)-1,-9)</f>
        <v>Roll an init die twice, lose acces to that init die for the following round</v>
      </c>
      <c r="M54" s="147"/>
      <c r="N54" s="147"/>
      <c r="O54" s="147"/>
      <c r="P54" s="147"/>
      <c r="Q54" s="147"/>
      <c r="R54" s="147"/>
      <c r="S54" s="147"/>
      <c r="T54" s="147"/>
      <c r="U54" s="147"/>
      <c r="V54" s="147"/>
      <c r="W54" s="147"/>
      <c r="X54" s="147"/>
    </row>
    <row r="55" spans="1:24" ht="15.75" customHeight="1" x14ac:dyDescent="0.15">
      <c r="A55" s="146">
        <v>1</v>
      </c>
      <c r="B55" s="149"/>
      <c r="C55" s="147"/>
      <c r="D55" s="147"/>
      <c r="E55" s="147"/>
      <c r="F55" s="147"/>
      <c r="G55" s="41">
        <f ca="1">IFERROR(OFFSET(Abilities!$N$1,MATCH(B55,Abilities!C:C,0)-1,A55),0)</f>
        <v>0</v>
      </c>
      <c r="J55" s="41" t="e">
        <f ca="1">OFFSET(Abilities!$N$1,MATCH(B55,Abilities!C:C,0)-1,-7)</f>
        <v>#N/A</v>
      </c>
      <c r="K55" s="1" t="e">
        <f ca="1">OFFSET(Abilities!$N$1,MATCH(B55,Abilities!C:C,0)-1,-12)</f>
        <v>#N/A</v>
      </c>
      <c r="L55" s="148" t="e">
        <f ca="1">OFFSET(Abilities!$N$1,MATCH(B55,Abilities!C:C,0)-1,-9)</f>
        <v>#N/A</v>
      </c>
      <c r="M55" s="147"/>
      <c r="N55" s="147"/>
      <c r="O55" s="147"/>
      <c r="P55" s="147"/>
      <c r="Q55" s="147"/>
      <c r="R55" s="147"/>
      <c r="S55" s="147"/>
      <c r="T55" s="147"/>
      <c r="U55" s="147"/>
      <c r="V55" s="147"/>
      <c r="W55" s="147"/>
      <c r="X55" s="147"/>
    </row>
    <row r="56" spans="1:24" ht="13" x14ac:dyDescent="0.15">
      <c r="A56" s="146">
        <v>1</v>
      </c>
      <c r="B56" s="149" t="s">
        <v>632</v>
      </c>
      <c r="C56" s="147"/>
      <c r="D56" s="147"/>
      <c r="E56" s="147"/>
      <c r="F56" s="147"/>
      <c r="G56" s="41">
        <f ca="1">IFERROR(OFFSET(Abilities!$N$1,MATCH(B56,Abilities!C:C,0)-1,A56),0)</f>
        <v>40</v>
      </c>
      <c r="J56" s="41" t="str">
        <f ca="1">OFFSET(Abilities!$N$1,MATCH(B56,Abilities!C:C,0)-1,-7)</f>
        <v>19U,(24)</v>
      </c>
      <c r="K56" s="1" t="str">
        <f ca="1">OFFSET(Abilities!$N$1,MATCH(B56,Abilities!C:C,0)-1,-12)</f>
        <v>Maneuver</v>
      </c>
      <c r="L56" s="148" t="str">
        <f ca="1">OFFSET(Abilities!$N$1,MATCH(B56,Abilities!C:C,0)-1,-9)</f>
        <v>(5) as a nonaction at any time. Resolve one of your teleportation abilities.</v>
      </c>
      <c r="M56" s="147"/>
      <c r="N56" s="147"/>
      <c r="O56" s="147"/>
      <c r="P56" s="147"/>
      <c r="Q56" s="147"/>
      <c r="R56" s="147"/>
      <c r="S56" s="147"/>
      <c r="T56" s="147"/>
      <c r="U56" s="147"/>
      <c r="V56" s="147"/>
      <c r="W56" s="147"/>
      <c r="X56" s="147"/>
    </row>
    <row r="57" spans="1:24" ht="13" x14ac:dyDescent="0.15">
      <c r="A57" s="146">
        <v>1</v>
      </c>
      <c r="B57" s="149"/>
      <c r="C57" s="147"/>
      <c r="D57" s="147"/>
      <c r="E57" s="147"/>
      <c r="F57" s="147"/>
      <c r="G57" s="41">
        <f ca="1">IFERROR(OFFSET(Abilities!$N$1,MATCH(B57,Abilities!C:C,0)-1,A57),0)</f>
        <v>0</v>
      </c>
      <c r="J57" s="41" t="e">
        <f ca="1">OFFSET(Abilities!$N$1,MATCH(B57,Abilities!C:C,0)-1,-7)</f>
        <v>#N/A</v>
      </c>
      <c r="K57" s="1" t="e">
        <f ca="1">OFFSET(Abilities!$N$1,MATCH(B57,Abilities!C:C,0)-1,-12)</f>
        <v>#N/A</v>
      </c>
      <c r="L57" s="148" t="e">
        <f ca="1">OFFSET(Abilities!$N$1,MATCH(B57,Abilities!C:C,0)-1,-9)</f>
        <v>#N/A</v>
      </c>
      <c r="M57" s="147"/>
      <c r="N57" s="147"/>
      <c r="O57" s="147"/>
      <c r="P57" s="147"/>
      <c r="Q57" s="147"/>
      <c r="R57" s="147"/>
      <c r="S57" s="147"/>
      <c r="T57" s="147"/>
      <c r="U57" s="147"/>
      <c r="V57" s="147"/>
      <c r="W57" s="147"/>
      <c r="X57" s="147"/>
    </row>
    <row r="58" spans="1:24" ht="13" x14ac:dyDescent="0.15">
      <c r="A58" s="146">
        <v>1</v>
      </c>
      <c r="B58" s="149"/>
      <c r="C58" s="147"/>
      <c r="D58" s="147"/>
      <c r="E58" s="147"/>
      <c r="F58" s="147"/>
      <c r="G58" s="41">
        <f ca="1">IFERROR(OFFSET(Abilities!$N$1,MATCH(B58,Abilities!C:C,0)-1,A58),0)</f>
        <v>0</v>
      </c>
      <c r="J58" s="41" t="e">
        <f ca="1">OFFSET(Abilities!$N$1,MATCH(B58,Abilities!C:C,0)-1,-7)</f>
        <v>#N/A</v>
      </c>
      <c r="K58" s="1" t="e">
        <f ca="1">OFFSET(Abilities!$N$1,MATCH(B58,Abilities!C:C,0)-1,-12)</f>
        <v>#N/A</v>
      </c>
      <c r="L58" s="148" t="e">
        <f ca="1">OFFSET(Abilities!$N$1,MATCH(B58,Abilities!C:C,0)-1,-9)</f>
        <v>#N/A</v>
      </c>
      <c r="M58" s="147"/>
      <c r="N58" s="147"/>
      <c r="O58" s="147"/>
      <c r="P58" s="147"/>
      <c r="Q58" s="147"/>
      <c r="R58" s="147"/>
      <c r="S58" s="147"/>
      <c r="T58" s="147"/>
      <c r="U58" s="147"/>
      <c r="V58" s="147"/>
      <c r="W58" s="147"/>
      <c r="X58" s="147"/>
    </row>
    <row r="59" spans="1:24" ht="13" x14ac:dyDescent="0.15">
      <c r="A59" s="146">
        <v>1</v>
      </c>
      <c r="B59" s="149" t="s">
        <v>1731</v>
      </c>
      <c r="C59" s="147"/>
      <c r="D59" s="147"/>
      <c r="E59" s="147"/>
      <c r="F59" s="147"/>
      <c r="G59" s="41">
        <f ca="1">IFERROR(OFFSET(Abilities!$N$1,MATCH(B59,Abilities!C:C,0)-1,A59),0)</f>
        <v>10</v>
      </c>
      <c r="J59" s="41" t="str">
        <f ca="1">OFFSET(Abilities!$N$1,MATCH(B59,Abilities!C:C,0)-1,-7)</f>
        <v xml:space="preserve">9(U|B|R),(12)
</v>
      </c>
      <c r="K59" s="1" t="str">
        <f ca="1">OFFSET(Abilities!$N$1,MATCH(B59,Abilities!C:C,0)-1,-12)</f>
        <v>Stance</v>
      </c>
      <c r="L59" s="148" t="str">
        <f ca="1">OFFSET(Abilities!$N$1,MATCH(B59,Abilities!C:C,0)-1,-9)</f>
        <v>Every time you attempt a dodge you may shift 5ft after resolving the dodge.</v>
      </c>
      <c r="M59" s="147"/>
      <c r="N59" s="147"/>
      <c r="O59" s="147"/>
      <c r="P59" s="147"/>
      <c r="Q59" s="147"/>
      <c r="R59" s="147"/>
      <c r="S59" s="147"/>
      <c r="T59" s="147"/>
      <c r="U59" s="147"/>
      <c r="V59" s="147"/>
      <c r="W59" s="147"/>
      <c r="X59" s="147"/>
    </row>
    <row r="60" spans="1:24" ht="13" x14ac:dyDescent="0.15">
      <c r="A60" s="146">
        <v>1</v>
      </c>
      <c r="B60" s="149"/>
      <c r="C60" s="147"/>
      <c r="D60" s="147"/>
      <c r="E60" s="147"/>
      <c r="F60" s="147"/>
      <c r="G60" s="41">
        <f ca="1">IFERROR(OFFSET(Abilities!$N$1,MATCH(B60,Abilities!C:C,0)-1,A60),0)</f>
        <v>0</v>
      </c>
      <c r="J60" s="41" t="e">
        <f ca="1">OFFSET(Abilities!$N$1,MATCH(B60,Abilities!C:C,0)-1,-7)</f>
        <v>#N/A</v>
      </c>
      <c r="K60" s="1" t="e">
        <f ca="1">OFFSET(Abilities!$N$1,MATCH(B60,Abilities!C:C,0)-1,-12)</f>
        <v>#N/A</v>
      </c>
      <c r="L60" s="148" t="e">
        <f ca="1">OFFSET(Abilities!$N$1,MATCH(B60,Abilities!C:C,0)-1,-9)</f>
        <v>#N/A</v>
      </c>
      <c r="M60" s="147"/>
      <c r="N60" s="147"/>
      <c r="O60" s="147"/>
      <c r="P60" s="147"/>
      <c r="Q60" s="147"/>
      <c r="R60" s="147"/>
      <c r="S60" s="147"/>
      <c r="T60" s="147"/>
      <c r="U60" s="147"/>
      <c r="V60" s="147"/>
      <c r="W60" s="147"/>
      <c r="X60" s="147"/>
    </row>
    <row r="61" spans="1:24" ht="13" x14ac:dyDescent="0.15">
      <c r="A61" s="146">
        <v>1</v>
      </c>
      <c r="B61" s="149" t="s">
        <v>1485</v>
      </c>
      <c r="C61" s="147"/>
      <c r="D61" s="147"/>
      <c r="E61" s="147"/>
      <c r="F61" s="147"/>
      <c r="G61" s="41">
        <f ca="1">IFERROR(OFFSET(Abilities!$N$1,MATCH(B61,Abilities!C:C,0)-1,A61),0)</f>
        <v>5</v>
      </c>
      <c r="J61" s="41" t="str">
        <f ca="1">OFFSET(Abilities!$N$1,MATCH(B61,Abilities!C:C,0)-1,-7)</f>
        <v xml:space="preserve">4U,(9)
</v>
      </c>
      <c r="K61" s="1" t="str">
        <f ca="1">OFFSET(Abilities!$N$1,MATCH(B61,Abilities!C:C,0)-1,-12)</f>
        <v>Spell</v>
      </c>
      <c r="L61" s="148" t="str">
        <f ca="1">OFFSET(Abilities!$N$1,MATCH(B61,Abilities!C:C,0)-1,-9)</f>
        <v>SUST SELF
Range = CS*10ft
You create a scrying sensor at a nearby location within RANGE. You can see and hear as if you are at that location. Casting this spell is a half action.
Overloads
2: +CS*10 ft range</v>
      </c>
      <c r="M61" s="147"/>
      <c r="N61" s="147"/>
      <c r="O61" s="147"/>
      <c r="P61" s="147"/>
      <c r="Q61" s="147"/>
      <c r="R61" s="147"/>
      <c r="S61" s="147"/>
      <c r="T61" s="147"/>
      <c r="U61" s="147"/>
      <c r="V61" s="147"/>
      <c r="W61" s="147"/>
      <c r="X61" s="147"/>
    </row>
    <row r="62" spans="1:24" ht="13" x14ac:dyDescent="0.15">
      <c r="A62" s="146">
        <v>1</v>
      </c>
      <c r="B62" s="149" t="s">
        <v>1552</v>
      </c>
      <c r="C62" s="147"/>
      <c r="D62" s="147"/>
      <c r="E62" s="147"/>
      <c r="F62" s="147"/>
      <c r="G62" s="41">
        <f ca="1">IFERROR(OFFSET(Abilities!$N$1,MATCH(B62,Abilities!C:C,0)-1,A62),0)</f>
        <v>5</v>
      </c>
      <c r="J62" s="41" t="str">
        <f ca="1">OFFSET(Abilities!$N$1,MATCH(B62,Abilities!C:C,0)-1,-7)</f>
        <v>3R,(6)</v>
      </c>
      <c r="K62" s="1" t="str">
        <f ca="1">OFFSET(Abilities!$N$1,MATCH(B62,Abilities!C:C,0)-1,-12)</f>
        <v>Spell</v>
      </c>
      <c r="L62" s="148" t="str">
        <f ca="1">OFFSET(Abilities!$N$1,MATCH(B62,Abilities!C:C,0)-1,-9)</f>
        <v>INST TRGT
Throw an object with effective STR = CS-2
When throwing a weapon or other similarly sized item (limited to weapons of your size) you may resolve the fling as an attack roll when directing the object at a specific target. When throwing larger objects the item is treated as a falling object and creatures in the target zone are entitled to a dodge(2) threshold check to avoid it.
Overloads
2: +1 effective STR</v>
      </c>
      <c r="M62" s="147"/>
      <c r="N62" s="147"/>
      <c r="O62" s="147"/>
      <c r="P62" s="147"/>
      <c r="Q62" s="147"/>
      <c r="R62" s="147"/>
      <c r="S62" s="147"/>
      <c r="T62" s="147"/>
      <c r="U62" s="147"/>
      <c r="V62" s="147"/>
      <c r="W62" s="147"/>
      <c r="X62" s="147"/>
    </row>
    <row r="63" spans="1:24" ht="13" x14ac:dyDescent="0.15">
      <c r="A63" s="146">
        <v>1</v>
      </c>
      <c r="B63" s="149" t="s">
        <v>1560</v>
      </c>
      <c r="C63" s="147"/>
      <c r="D63" s="147"/>
      <c r="E63" s="147"/>
      <c r="F63" s="147"/>
      <c r="G63" s="41">
        <f ca="1">IFERROR(OFFSET(Abilities!$N$1,MATCH(B63,Abilities!C:C,0)-1,A63),0)</f>
        <v>5</v>
      </c>
      <c r="J63" s="41" t="str">
        <f ca="1">OFFSET(Abilities!$N$1,MATCH(B63,Abilities!C:C,0)-1,-7)</f>
        <v>4(U|G),(9)</v>
      </c>
      <c r="K63" s="1" t="str">
        <f ca="1">OFFSET(Abilities!$N$1,MATCH(B63,Abilities!C:C,0)-1,-12)</f>
        <v>Spell</v>
      </c>
      <c r="L63" s="148" t="str">
        <f ca="1">OFFSET(Abilities!$N$1,MATCH(B63,Abilities!C:C,0)-1,-9)</f>
        <v xml:space="preserve">SUST
5ft diameter per CS
first 5ft of fog grant moderate concealment, 10ft+ total concealment.
Overloads
3: +5ft diameter
</v>
      </c>
      <c r="M63" s="147"/>
      <c r="N63" s="147"/>
      <c r="O63" s="147"/>
      <c r="P63" s="147"/>
      <c r="Q63" s="147"/>
      <c r="R63" s="147"/>
      <c r="S63" s="147"/>
      <c r="T63" s="147"/>
      <c r="U63" s="147"/>
      <c r="V63" s="147"/>
      <c r="W63" s="147"/>
      <c r="X63" s="147"/>
    </row>
    <row r="64" spans="1:24" ht="13" x14ac:dyDescent="0.15">
      <c r="A64" s="146">
        <v>1</v>
      </c>
      <c r="B64" s="149" t="s">
        <v>1595</v>
      </c>
      <c r="C64" s="147"/>
      <c r="D64" s="147"/>
      <c r="E64" s="147"/>
      <c r="F64" s="147"/>
      <c r="G64" s="41">
        <f ca="1">IFERROR(OFFSET(Abilities!$N$1,MATCH(B64,Abilities!C:C,0)-1,A64),0)</f>
        <v>5</v>
      </c>
      <c r="J64" s="41" t="str">
        <f ca="1">OFFSET(Abilities!$N$1,MATCH(B64,Abilities!C:C,0)-1,-7)</f>
        <v>3U,(6)</v>
      </c>
      <c r="K64" s="1" t="str">
        <f ca="1">OFFSET(Abilities!$N$1,MATCH(B64,Abilities!C:C,0)-1,-12)</f>
        <v>Spell</v>
      </c>
      <c r="L64" s="148" t="str">
        <f ca="1">OFFSET(Abilities!$N$1,MATCH(B64,Abilities!C:C,0)-1,-9)</f>
        <v xml:space="preserve">SUST TRGT
Range = 30 ft
Lift up to 50kg per CS (single object or clump of objects)
Or up to SPELLCASTING individual objects of negligible weight
Can only target attended objects if the attendee is willing
Cannot move objects that are stuck or restrained
Affecting a creature requires an opposed check 
eDV = CS-1
mental/phys
0: no effect
1+: the target is lifted up and dropped prone if they fail a (2) acrobatics check
9+ the target is levitated until the end of the round
Overloads
2: +1 eDV
2: +5ft range
You can move the target at a rate of 5ft per half action, or in the case of multiple small objects, 20ft. As a half action you can also set the object(s) to follow you, but they are limited to traveling at the listed speeds per round and move at the end of the round. Targets can be raised at most 30ft off the ground and if moved to be higher will descend safely at 60ft per round. </v>
      </c>
      <c r="M64" s="147"/>
      <c r="N64" s="147"/>
      <c r="O64" s="147"/>
      <c r="P64" s="147"/>
      <c r="Q64" s="147"/>
      <c r="R64" s="147"/>
      <c r="S64" s="147"/>
      <c r="T64" s="147"/>
      <c r="U64" s="147"/>
      <c r="V64" s="147"/>
      <c r="W64" s="147"/>
      <c r="X64" s="147"/>
    </row>
    <row r="65" spans="1:24" ht="13" x14ac:dyDescent="0.15">
      <c r="A65" s="146">
        <v>1</v>
      </c>
      <c r="B65" s="149" t="s">
        <v>1647</v>
      </c>
      <c r="C65" s="147"/>
      <c r="D65" s="147"/>
      <c r="E65" s="147"/>
      <c r="F65" s="147"/>
      <c r="G65" s="41">
        <f ca="1">IFERROR(OFFSET(Abilities!$N$1,MATCH(B65,Abilities!C:C,0)-1,A65),0)</f>
        <v>5</v>
      </c>
      <c r="J65" s="41" t="str">
        <f ca="1">OFFSET(Abilities!$N$1,MATCH(B65,Abilities!C:C,0)-1,-7)</f>
        <v>4U,(9)</v>
      </c>
      <c r="K65" s="1" t="str">
        <f ca="1">OFFSET(Abilities!$N$1,MATCH(B65,Abilities!C:C,0)-1,-12)</f>
        <v>Spell</v>
      </c>
      <c r="L65" s="148" t="str">
        <f ca="1">OFFSET(Abilities!$N$1,MATCH(B65,Abilities!C:C,0)-1,-9)</f>
        <v xml:space="preserve">INST
Send a message of 25 words up to (CS*10) feet to a known recipient.
Overloads:
3: *10 distance
3: send a picture instead
</v>
      </c>
      <c r="M65" s="147"/>
      <c r="N65" s="147"/>
      <c r="O65" s="147"/>
      <c r="P65" s="147"/>
      <c r="Q65" s="147"/>
      <c r="R65" s="147"/>
      <c r="S65" s="147"/>
      <c r="T65" s="147"/>
      <c r="U65" s="147"/>
      <c r="V65" s="147"/>
      <c r="W65" s="147"/>
      <c r="X65" s="147"/>
    </row>
    <row r="66" spans="1:24" ht="13" x14ac:dyDescent="0.15">
      <c r="A66" s="146">
        <v>1</v>
      </c>
      <c r="B66" s="149" t="s">
        <v>1654</v>
      </c>
      <c r="C66" s="147"/>
      <c r="D66" s="147"/>
      <c r="E66" s="147"/>
      <c r="F66" s="147"/>
      <c r="G66" s="41">
        <f ca="1">IFERROR(OFFSET(Abilities!$N$1,MATCH(B66,Abilities!C:C,0)-1,A66),0)</f>
        <v>10</v>
      </c>
      <c r="J66" s="41" t="str">
        <f ca="1">OFFSET(Abilities!$N$1,MATCH(B66,Abilities!C:C,0)-1,-7)</f>
        <v xml:space="preserve">7(W|R|G),(9)
</v>
      </c>
      <c r="K66" s="1" t="str">
        <f ca="1">OFFSET(Abilities!$N$1,MATCH(B66,Abilities!C:C,0)-1,-12)</f>
        <v>Spell</v>
      </c>
      <c r="L66" s="148" t="str">
        <f ca="1">OFFSET(Abilities!$N$1,MATCH(B66,Abilities!C:C,0)-1,-9)</f>
        <v>DIRECT INST
DV = CS+3
Can only target objects. Attended objects are entitled to physical resist and physical soak on top of their hardness.
Overloads:
2: +1 eDV</v>
      </c>
      <c r="M66" s="147"/>
      <c r="N66" s="147"/>
      <c r="O66" s="147"/>
      <c r="P66" s="147"/>
      <c r="Q66" s="147"/>
      <c r="R66" s="147"/>
      <c r="S66" s="147"/>
      <c r="T66" s="147"/>
      <c r="U66" s="147"/>
      <c r="V66" s="147"/>
      <c r="W66" s="147"/>
      <c r="X66" s="147"/>
    </row>
    <row r="67" spans="1:24" ht="13" x14ac:dyDescent="0.15">
      <c r="A67" s="146">
        <v>1</v>
      </c>
      <c r="B67" s="149" t="s">
        <v>1525</v>
      </c>
      <c r="C67" s="147"/>
      <c r="D67" s="147"/>
      <c r="E67" s="147"/>
      <c r="F67" s="147"/>
      <c r="G67" s="41">
        <f ca="1">IFERROR(OFFSET(Abilities!$N$1,MATCH(B67,Abilities!C:C,0)-1,A67),0)</f>
        <v>5</v>
      </c>
      <c r="J67" s="41" t="str">
        <f ca="1">OFFSET(Abilities!$N$1,MATCH(B67,Abilities!C:C,0)-1,-7)</f>
        <v xml:space="preserve">4*C*,(9)
</v>
      </c>
      <c r="K67" s="1" t="str">
        <f ca="1">OFFSET(Abilities!$N$1,MATCH(B67,Abilities!C:C,0)-1,-12)</f>
        <v>Spell</v>
      </c>
      <c r="L67" s="148" t="str">
        <f ca="1">OFFSET(Abilities!$N$1,MATCH(B67,Abilities!C:C,0)-1,-9)</f>
        <v>INST/SUST
Touch (non provoking), ranged
DV = CS+1 (ELEMENT)
Resist = Dodge,Block
Soak = Armor
Overloads
2: +1DV
2: AoE per 5ft diameter, (note that it starts at 5ft effectively) 
4: Sust (repeat the attack at the target location at the end of every round it is sustained. This repeat attack is always treated as an AoE. You may move the target area of this sustained spell as a half action.)
This attack does elemental damage of the chosen type, fixed upon purchase of ability.</v>
      </c>
      <c r="M67" s="147"/>
      <c r="N67" s="147"/>
      <c r="O67" s="147"/>
      <c r="P67" s="147"/>
      <c r="Q67" s="147"/>
      <c r="R67" s="147"/>
      <c r="S67" s="147"/>
      <c r="T67" s="147"/>
      <c r="U67" s="147"/>
      <c r="V67" s="147"/>
      <c r="W67" s="147"/>
      <c r="X67" s="147"/>
    </row>
    <row r="68" spans="1:24" ht="13" x14ac:dyDescent="0.15">
      <c r="A68" s="146">
        <v>1</v>
      </c>
      <c r="B68" s="149" t="s">
        <v>801</v>
      </c>
      <c r="C68" s="147"/>
      <c r="D68" s="147"/>
      <c r="E68" s="147"/>
      <c r="F68" s="147"/>
      <c r="G68" s="41">
        <f ca="1">IFERROR(OFFSET(Abilities!$N$1,MATCH(B68,Abilities!C:C,0)-1,A68),0)</f>
        <v>5</v>
      </c>
      <c r="J68" s="41" t="str">
        <f ca="1">OFFSET(Abilities!$N$1,MATCH(B68,Abilities!C:C,0)-1,-7)</f>
        <v>8(U|R|B|W),(9)</v>
      </c>
      <c r="K68" s="1" t="str">
        <f ca="1">OFFSET(Abilities!$N$1,MATCH(B68,Abilities!C:C,0)-1,-12)</f>
        <v>Maneuver</v>
      </c>
      <c r="L68" s="148" t="str">
        <f ca="1">OFFSET(Abilities!$N$1,MATCH(B68,Abilities!C:C,0)-1,-9)</f>
        <v>half Action. One ally within (60 ft) gains a fly speed equal to their movement speed until the end of the round.</v>
      </c>
      <c r="M68" s="147"/>
      <c r="N68" s="147"/>
      <c r="O68" s="147"/>
      <c r="P68" s="147"/>
      <c r="Q68" s="147"/>
      <c r="R68" s="147"/>
      <c r="S68" s="147"/>
      <c r="T68" s="147"/>
      <c r="U68" s="147"/>
      <c r="V68" s="147"/>
      <c r="W68" s="147"/>
      <c r="X68" s="147"/>
    </row>
    <row r="69" spans="1:24" ht="13" x14ac:dyDescent="0.15">
      <c r="A69" s="146">
        <v>1</v>
      </c>
      <c r="B69" s="149" t="s">
        <v>1580</v>
      </c>
      <c r="C69" s="147"/>
      <c r="D69" s="147"/>
      <c r="E69" s="147"/>
      <c r="F69" s="147"/>
      <c r="G69" s="41">
        <f ca="1">IFERROR(OFFSET(Abilities!$N$1,MATCH(B69,Abilities!C:C,0)-1,A69),0)</f>
        <v>25</v>
      </c>
      <c r="J69" s="41" t="str">
        <f ca="1">OFFSET(Abilities!$N$1,MATCH(B69,Abilities!C:C,0)-1,-7)</f>
        <v>7U,(15)</v>
      </c>
      <c r="K69" s="1" t="str">
        <f ca="1">OFFSET(Abilities!$N$1,MATCH(B69,Abilities!C:C,0)-1,-12)</f>
        <v>Spell</v>
      </c>
      <c r="L69" s="148" t="str">
        <f ca="1">OFFSET(Abilities!$N$1,MATCH(B69,Abilities!C:C,0)-1,-9)</f>
        <v>INST
You can conjure ice into any shape that suits your purpose. While it’s possible to make crude coffers, doors, and so forth with this function, fine detail isn’t possible. (10 cubic feet per CS/2). For surfaces you can choose rough (nonslip) or smooth (checks required) ice. Ice has (3 HP per cubic foot and barrier rating 5) . (40 cubic feet per CS/2) of existing ice may be reshaped instead. Ice cannot be conjured into occupied space, cannot exert force in the conjuring process, or be conjured flush with intricate surfaces.
Overloads:
(2): +10 cubic feet conjured
(2): +40 cubic feet reshaped
You can form ice with focused detail into an object that suits your purpose. You may create multiple items as part of the same action up to a total of CS/6 items. If shaping the item from existing ice, you may instead create one item per CS/2.
Overloads:
(6): +1 item with no preexisting ice
(2): +1 item with preexisting ice
You can flash freeze existing water and liquids that are not part of living or animate creatures, you may be able to use this as an attack against specific creatures with your GM's discretion (A creature formed entirely of water). If the objects are attended they are entitled to resist.
(If targeting attended liquids)
eDV = CS+4
Mental resist/Physical soak
Freeze 5 cubic feet per unsoaked eDV
Overloads:
(2): +1 eDV</v>
      </c>
      <c r="M69" s="147"/>
      <c r="N69" s="147"/>
      <c r="O69" s="147"/>
      <c r="P69" s="147"/>
      <c r="Q69" s="147"/>
      <c r="R69" s="147"/>
      <c r="S69" s="147"/>
      <c r="T69" s="147"/>
      <c r="U69" s="147"/>
      <c r="V69" s="147"/>
      <c r="W69" s="147"/>
      <c r="X69" s="147"/>
    </row>
    <row r="70" spans="1:24" ht="13" x14ac:dyDescent="0.15">
      <c r="A70" s="146">
        <v>1</v>
      </c>
      <c r="B70" s="149" t="s">
        <v>2</v>
      </c>
      <c r="C70" s="147"/>
      <c r="D70" s="147"/>
      <c r="E70" s="147"/>
      <c r="F70" s="147"/>
      <c r="G70" s="41" t="str">
        <f ca="1">IFERROR(OFFSET(Abilities!$N$1,MATCH(B70,Abilities!C:C,0)-1,A70),0)</f>
        <v>R1</v>
      </c>
      <c r="J70" s="41" t="str">
        <f ca="1">OFFSET(Abilities!$N$1,MATCH(B70,Abilities!C:C,0)-1,-7)</f>
        <v>Affinity req</v>
      </c>
      <c r="K70" s="1" t="str">
        <f ca="1">OFFSET(Abilities!$N$1,MATCH(B70,Abilities!C:C,0)-1,-12)</f>
        <v>Category</v>
      </c>
      <c r="L70" s="148" t="str">
        <f ca="1">OFFSET(Abilities!$N$1,MATCH(B70,Abilities!C:C,0)-1,-9)</f>
        <v>Rules Text</v>
      </c>
      <c r="M70" s="147"/>
      <c r="N70" s="147"/>
      <c r="O70" s="147"/>
      <c r="P70" s="147"/>
      <c r="Q70" s="147"/>
      <c r="R70" s="147"/>
      <c r="S70" s="147"/>
      <c r="T70" s="147"/>
      <c r="U70" s="147"/>
      <c r="V70" s="147"/>
      <c r="W70" s="147"/>
      <c r="X70" s="147"/>
    </row>
    <row r="71" spans="1:24" ht="13" x14ac:dyDescent="0.15">
      <c r="A71" s="146">
        <v>1</v>
      </c>
      <c r="B71" s="149" t="s">
        <v>859</v>
      </c>
      <c r="C71" s="147"/>
      <c r="D71" s="147"/>
      <c r="E71" s="147"/>
      <c r="F71" s="147"/>
      <c r="G71" s="41">
        <f ca="1">IFERROR(OFFSET(Abilities!$N$1,MATCH(B71,Abilities!C:C,0)-1,A71),0)</f>
        <v>0</v>
      </c>
      <c r="J71" s="41" t="str">
        <f ca="1">OFFSET(Abilities!$N$1,MATCH(B71,Abilities!C:C,0)-1,-7)</f>
        <v>WUBRG,(0)</v>
      </c>
      <c r="K71" s="1" t="str">
        <f ca="1">OFFSET(Abilities!$N$1,MATCH(B71,Abilities!C:C,0)-1,-12)</f>
        <v>Metamagic</v>
      </c>
      <c r="L71" s="148" t="str">
        <f ca="1">OFFSET(Abilities!$N$1,MATCH(B71,Abilities!C:C,0)-1,-9)</f>
        <v>Complex Action. Begin centering to cast a spell on a later turn. Each consecutive turn that you center adds the following: WIL/2 to the drain dicepool up to a cap of 2*WIL, overload limit of the spell by 1 up to a total cap of CAST STAT+4. If you are subjected to an effect that would prevent you from using this ability then your current centering is lost.
Possessing this ability incurs a 2 drain cost on any spells cast without centering (Note this is an up front cost, not an overload value).</v>
      </c>
      <c r="M71" s="147"/>
      <c r="N71" s="147"/>
      <c r="O71" s="147"/>
      <c r="P71" s="147"/>
      <c r="Q71" s="147"/>
      <c r="R71" s="147"/>
      <c r="S71" s="147"/>
      <c r="T71" s="147"/>
      <c r="U71" s="147"/>
      <c r="V71" s="147"/>
      <c r="W71" s="147"/>
      <c r="X71" s="147"/>
    </row>
    <row r="72" spans="1:24" ht="13" x14ac:dyDescent="0.15">
      <c r="A72" s="146">
        <v>1</v>
      </c>
      <c r="B72" s="149" t="s">
        <v>905</v>
      </c>
      <c r="C72" s="147"/>
      <c r="D72" s="147"/>
      <c r="E72" s="147"/>
      <c r="F72" s="147"/>
      <c r="G72" s="41">
        <f ca="1">IFERROR(OFFSET(Abilities!$N$1,MATCH(B72,Abilities!C:C,0)-1,A72),0)</f>
        <v>100</v>
      </c>
      <c r="J72" s="41" t="str">
        <f ca="1">OFFSET(Abilities!$N$1,MATCH(B72,Abilities!C:C,0)-1,-7)</f>
        <v>8U,8R,8(U|R),(30)</v>
      </c>
      <c r="K72" s="1" t="str">
        <f ca="1">OFFSET(Abilities!$N$1,MATCH(B72,Abilities!C:C,0)-1,-12)</f>
        <v>Metamagic</v>
      </c>
      <c r="L72" s="148" t="str">
        <f ca="1">OFFSET(Abilities!$N$1,MATCH(B72,Abilities!C:C,0)-1,-9)</f>
        <v>Whenever you take X drain from spellcasting roll a dicepool of X size. For every hit that results copy the triggering spell. These copies do not incur drain.</v>
      </c>
      <c r="M72" s="147"/>
      <c r="N72" s="147"/>
      <c r="O72" s="147"/>
      <c r="P72" s="147"/>
      <c r="Q72" s="147"/>
      <c r="R72" s="147"/>
      <c r="S72" s="147"/>
      <c r="T72" s="147"/>
      <c r="U72" s="147"/>
      <c r="V72" s="147"/>
      <c r="W72" s="147"/>
      <c r="X72" s="147"/>
    </row>
    <row r="73" spans="1:24" ht="13" x14ac:dyDescent="0.15">
      <c r="A73" s="146">
        <v>1</v>
      </c>
      <c r="B73" s="149" t="s">
        <v>1845</v>
      </c>
      <c r="C73" s="147"/>
      <c r="D73" s="147"/>
      <c r="E73" s="147"/>
      <c r="F73" s="147"/>
      <c r="G73" s="41">
        <f ca="1">IFERROR(OFFSET(Abilities!$N$1,MATCH(B73,Abilities!C:C,0)-1,A73),0)</f>
        <v>20</v>
      </c>
      <c r="J73" s="41" t="str">
        <f ca="1">OFFSET(Abilities!$N$1,MATCH(B73,Abilities!C:C,0)-1,-7)</f>
        <v>6U6(G/R)</v>
      </c>
      <c r="K73" s="1" t="str">
        <f ca="1">OFFSET(Abilities!$N$1,MATCH(B73,Abilities!C:C,0)-1,-12)</f>
        <v>Ritual</v>
      </c>
      <c r="L73" s="148">
        <f ca="1">OFFSET(Abilities!$N$1,MATCH(B73,Abilities!C:C,0)-1,-9)</f>
        <v>0</v>
      </c>
      <c r="M73" s="147"/>
      <c r="N73" s="147"/>
      <c r="O73" s="147"/>
      <c r="P73" s="147"/>
      <c r="Q73" s="147"/>
      <c r="R73" s="147"/>
      <c r="S73" s="147"/>
      <c r="T73" s="147"/>
      <c r="U73" s="147"/>
      <c r="V73" s="147"/>
      <c r="W73" s="147"/>
      <c r="X73" s="147"/>
    </row>
    <row r="74" spans="1:24" ht="13" x14ac:dyDescent="0.15">
      <c r="A74" s="146">
        <v>1</v>
      </c>
      <c r="B74" s="149" t="s">
        <v>880</v>
      </c>
      <c r="C74" s="147"/>
      <c r="D74" s="147"/>
      <c r="E74" s="147"/>
      <c r="F74" s="147"/>
      <c r="G74" s="41">
        <f ca="1">IFERROR(OFFSET(Abilities!$N$1,MATCH(B74,Abilities!C:C,0)-1,A74),0)</f>
        <v>10</v>
      </c>
      <c r="J74" s="41" t="str">
        <f ca="1">OFFSET(Abilities!$N$1,MATCH(B74,Abilities!C:C,0)-1,-7)</f>
        <v>7R,(9)</v>
      </c>
      <c r="K74" s="1" t="str">
        <f ca="1">OFFSET(Abilities!$N$1,MATCH(B74,Abilities!C:C,0)-1,-12)</f>
        <v>Metamagic</v>
      </c>
      <c r="L74" s="148" t="str">
        <f ca="1">OFFSET(Abilities!$N$1,MATCH(B74,Abilities!C:C,0)-1,-9)</f>
        <v>Overload 6, copy this spell. The copied spell does not inherit Fork.</v>
      </c>
      <c r="M74" s="147"/>
      <c r="N74" s="147"/>
      <c r="O74" s="147"/>
      <c r="P74" s="147"/>
      <c r="Q74" s="147"/>
      <c r="R74" s="147"/>
      <c r="S74" s="147"/>
      <c r="T74" s="147"/>
      <c r="U74" s="147"/>
      <c r="V74" s="147"/>
      <c r="W74" s="147"/>
      <c r="X74" s="147"/>
    </row>
    <row r="75" spans="1:24" ht="13" x14ac:dyDescent="0.15">
      <c r="A75" s="146">
        <v>1</v>
      </c>
      <c r="B75" s="149"/>
      <c r="C75" s="147"/>
      <c r="D75" s="147"/>
      <c r="E75" s="147"/>
      <c r="F75" s="147"/>
      <c r="G75" s="41">
        <f ca="1">IFERROR(OFFSET(Abilities!$N$1,MATCH(B75,Abilities!C:C,0)-1,A75),0)</f>
        <v>0</v>
      </c>
      <c r="J75" s="41" t="e">
        <f ca="1">OFFSET(Abilities!$N$1,MATCH(B75,Abilities!C:C,0)-1,-7)</f>
        <v>#N/A</v>
      </c>
      <c r="K75" s="1" t="e">
        <f ca="1">OFFSET(Abilities!$N$1,MATCH(B75,Abilities!C:C,0)-1,-12)</f>
        <v>#N/A</v>
      </c>
      <c r="L75" s="148" t="e">
        <f ca="1">OFFSET(Abilities!$N$1,MATCH(B75,Abilities!C:C,0)-1,-9)</f>
        <v>#N/A</v>
      </c>
      <c r="M75" s="147"/>
      <c r="N75" s="147"/>
      <c r="O75" s="147"/>
      <c r="P75" s="147"/>
      <c r="Q75" s="147"/>
      <c r="R75" s="147"/>
      <c r="S75" s="147"/>
      <c r="T75" s="147"/>
      <c r="U75" s="147"/>
      <c r="V75" s="147"/>
      <c r="W75" s="147"/>
      <c r="X75" s="147"/>
    </row>
    <row r="76" spans="1:24" ht="13" x14ac:dyDescent="0.15">
      <c r="A76" s="146">
        <v>3</v>
      </c>
      <c r="B76" s="149" t="s">
        <v>1192</v>
      </c>
      <c r="C76" s="147"/>
      <c r="D76" s="147"/>
      <c r="E76" s="147"/>
      <c r="F76" s="147"/>
      <c r="G76" s="41">
        <f ca="1">IFERROR(OFFSET(Abilities!$N$1,MATCH(B76,Abilities!C:C,0)-1,A76),0)</f>
        <v>120</v>
      </c>
      <c r="J76" s="41" t="str">
        <f ca="1">OFFSET(Abilities!$N$1,MATCH(B76,Abilities!C:C,0)-1,-7)</f>
        <v xml:space="preserve">,(12)
(18)
(24)
</v>
      </c>
      <c r="K76" s="1" t="str">
        <f ca="1">OFFSET(Abilities!$N$1,MATCH(B76,Abilities!C:C,0)-1,-12)</f>
        <v>Passive</v>
      </c>
      <c r="L76" s="148" t="str">
        <f ca="1">OFFSET(Abilities!$N$1,MATCH(B76,Abilities!C:C,0)-1,-9)</f>
        <v>(RANK) extra initiative dice</v>
      </c>
      <c r="M76" s="147"/>
      <c r="N76" s="147"/>
      <c r="O76" s="147"/>
      <c r="P76" s="147"/>
      <c r="Q76" s="147"/>
      <c r="R76" s="147"/>
      <c r="S76" s="147"/>
      <c r="T76" s="147"/>
      <c r="U76" s="147"/>
      <c r="V76" s="147"/>
      <c r="W76" s="147"/>
      <c r="X76" s="147"/>
    </row>
    <row r="77" spans="1:24" ht="13" x14ac:dyDescent="0.15">
      <c r="A77" s="146">
        <v>1</v>
      </c>
      <c r="B77" s="149" t="s">
        <v>1196</v>
      </c>
      <c r="C77" s="147"/>
      <c r="D77" s="147"/>
      <c r="E77" s="147"/>
      <c r="F77" s="147"/>
      <c r="G77" s="41">
        <f ca="1">IFERROR(OFFSET(Abilities!$N$1,MATCH(B77,Abilities!C:C,0)-1,A77),0)</f>
        <v>15</v>
      </c>
      <c r="J77" s="41" t="str">
        <f ca="1">OFFSET(Abilities!$N$1,MATCH(B77,Abilities!C:C,0)-1,-7)</f>
        <v>4U,4R,(18)</v>
      </c>
      <c r="K77" s="1" t="str">
        <f ca="1">OFFSET(Abilities!$N$1,MATCH(B77,Abilities!C:C,0)-1,-12)</f>
        <v>Passive</v>
      </c>
      <c r="L77" s="148" t="str">
        <f ca="1">OFFSET(Abilities!$N$1,MATCH(B77,Abilities!C:C,0)-1,-9)</f>
        <v>Your lightning damage cannot normally apply thunderstruck.
Enemies damaged by your lightning effects suffer Vulnerable 2 to lightning until the end of next round.
Damaging an enemy with a lightning effect grants you one static charge. Static charges decay after 1 minute of not gaining a charge.
While holding at least one static charge you glow faintly.
You can spend static charges as follows.
(X): This lightning attack can apply thunderstruck, count your net hits as X higher for determining if thunderstruck occurs. This may be activated after net hits are determined.
(3): Select one creature up to 30ft away from a current target for your lightning attack as an additional target, there must be line of effect between these two creatures.</v>
      </c>
      <c r="M77" s="147"/>
      <c r="N77" s="147"/>
      <c r="O77" s="147"/>
      <c r="P77" s="147"/>
      <c r="Q77" s="147"/>
      <c r="R77" s="147"/>
      <c r="S77" s="147"/>
      <c r="T77" s="147"/>
      <c r="U77" s="147"/>
      <c r="V77" s="147"/>
      <c r="W77" s="147"/>
      <c r="X77" s="147"/>
    </row>
    <row r="78" spans="1:24" ht="13" x14ac:dyDescent="0.15">
      <c r="A78" s="146">
        <v>1</v>
      </c>
      <c r="B78" s="149"/>
      <c r="C78" s="147"/>
      <c r="D78" s="147"/>
      <c r="E78" s="147"/>
      <c r="F78" s="147"/>
      <c r="G78" s="41">
        <f ca="1">IFERROR(OFFSET(Abilities!$N$1,MATCH(B78,Abilities!C:C,0)-1,A78),0)</f>
        <v>0</v>
      </c>
      <c r="J78" s="41" t="e">
        <f ca="1">OFFSET(Abilities!$N$1,MATCH(B78,Abilities!C:C,0)-1,-7)</f>
        <v>#N/A</v>
      </c>
      <c r="K78" s="1" t="e">
        <f ca="1">OFFSET(Abilities!$N$1,MATCH(B78,Abilities!C:C,0)-1,-12)</f>
        <v>#N/A</v>
      </c>
      <c r="L78" s="148" t="e">
        <f ca="1">OFFSET(Abilities!$N$1,MATCH(B78,Abilities!C:C,0)-1,-9)</f>
        <v>#N/A</v>
      </c>
      <c r="M78" s="147"/>
      <c r="N78" s="147"/>
      <c r="O78" s="147"/>
      <c r="P78" s="147"/>
      <c r="Q78" s="147"/>
      <c r="R78" s="147"/>
      <c r="S78" s="147"/>
      <c r="T78" s="147"/>
      <c r="U78" s="147"/>
      <c r="V78" s="147"/>
      <c r="W78" s="147"/>
      <c r="X78" s="147"/>
    </row>
    <row r="79" spans="1:24" ht="13" x14ac:dyDescent="0.15">
      <c r="A79" s="146">
        <v>1</v>
      </c>
      <c r="B79" s="149"/>
      <c r="C79" s="147"/>
      <c r="D79" s="147"/>
      <c r="E79" s="147"/>
      <c r="F79" s="147"/>
      <c r="G79" s="41">
        <f ca="1">IFERROR(OFFSET(Abilities!$N$1,MATCH(B79,Abilities!C:C,0)-1,A79),0)</f>
        <v>0</v>
      </c>
      <c r="J79" s="41" t="e">
        <f ca="1">OFFSET(Abilities!$N$1,MATCH(B79,Abilities!C:C,0)-1,-7)</f>
        <v>#N/A</v>
      </c>
      <c r="K79" s="1" t="e">
        <f ca="1">OFFSET(Abilities!$N$1,MATCH(B79,Abilities!C:C,0)-1,-12)</f>
        <v>#N/A</v>
      </c>
      <c r="L79" s="148" t="e">
        <f ca="1">OFFSET(Abilities!$N$1,MATCH(B79,Abilities!C:C,0)-1,-9)</f>
        <v>#N/A</v>
      </c>
      <c r="M79" s="147"/>
      <c r="N79" s="147"/>
      <c r="O79" s="147"/>
      <c r="P79" s="147"/>
      <c r="Q79" s="147"/>
      <c r="R79" s="147"/>
      <c r="S79" s="147"/>
      <c r="T79" s="147"/>
      <c r="U79" s="147"/>
      <c r="V79" s="147"/>
      <c r="W79" s="147"/>
      <c r="X79" s="147"/>
    </row>
    <row r="80" spans="1:24" ht="13" x14ac:dyDescent="0.15">
      <c r="A80" s="146">
        <v>1</v>
      </c>
      <c r="B80" s="149"/>
      <c r="C80" s="147"/>
      <c r="D80" s="147"/>
      <c r="E80" s="147"/>
      <c r="F80" s="147"/>
      <c r="G80" s="41">
        <f ca="1">IFERROR(OFFSET(Abilities!$N$1,MATCH(B80,Abilities!C:C,0)-1,A80),0)</f>
        <v>0</v>
      </c>
      <c r="J80" s="41" t="e">
        <f ca="1">OFFSET(Abilities!$N$1,MATCH(B80,Abilities!C:C,0)-1,-7)</f>
        <v>#N/A</v>
      </c>
      <c r="K80" s="1" t="e">
        <f ca="1">OFFSET(Abilities!$N$1,MATCH(B80,Abilities!C:C,0)-1,-12)</f>
        <v>#N/A</v>
      </c>
      <c r="L80" s="148" t="e">
        <f ca="1">OFFSET(Abilities!$N$1,MATCH(B80,Abilities!C:C,0)-1,-9)</f>
        <v>#N/A</v>
      </c>
      <c r="M80" s="147"/>
      <c r="N80" s="147"/>
      <c r="O80" s="147"/>
      <c r="P80" s="147"/>
      <c r="Q80" s="147"/>
      <c r="R80" s="147"/>
      <c r="S80" s="147"/>
      <c r="T80" s="147"/>
      <c r="U80" s="147"/>
      <c r="V80" s="147"/>
      <c r="W80" s="147"/>
      <c r="X80" s="147"/>
    </row>
    <row r="81" spans="1:24" ht="13" x14ac:dyDescent="0.15">
      <c r="A81" s="146">
        <v>1</v>
      </c>
      <c r="B81" s="149"/>
      <c r="C81" s="147"/>
      <c r="D81" s="147"/>
      <c r="E81" s="147"/>
      <c r="F81" s="147"/>
      <c r="G81" s="41">
        <f ca="1">IFERROR(OFFSET(Abilities!$N$1,MATCH(B81,Abilities!C:C,0)-1,A81),0)</f>
        <v>0</v>
      </c>
      <c r="J81" s="41" t="e">
        <f ca="1">OFFSET(Abilities!$N$1,MATCH(B81,Abilities!C:C,0)-1,-7)</f>
        <v>#N/A</v>
      </c>
      <c r="K81" s="1" t="e">
        <f ca="1">OFFSET(Abilities!$N$1,MATCH(B81,Abilities!C:C,0)-1,-12)</f>
        <v>#N/A</v>
      </c>
      <c r="L81" s="148" t="e">
        <f ca="1">OFFSET(Abilities!$N$1,MATCH(B81,Abilities!C:C,0)-1,-9)</f>
        <v>#N/A</v>
      </c>
      <c r="M81" s="147"/>
      <c r="N81" s="147"/>
      <c r="O81" s="147"/>
      <c r="P81" s="147"/>
      <c r="Q81" s="147"/>
      <c r="R81" s="147"/>
      <c r="S81" s="147"/>
      <c r="T81" s="147"/>
      <c r="U81" s="147"/>
      <c r="V81" s="147"/>
      <c r="W81" s="147"/>
      <c r="X81" s="147"/>
    </row>
    <row r="82" spans="1:24" ht="13" x14ac:dyDescent="0.15">
      <c r="A82" s="146">
        <v>1</v>
      </c>
      <c r="B82" s="149"/>
      <c r="C82" s="147"/>
      <c r="D82" s="147"/>
      <c r="E82" s="147"/>
      <c r="F82" s="147"/>
      <c r="G82" s="41">
        <f ca="1">IFERROR(OFFSET(Abilities!$N$1,MATCH(B82,Abilities!C:C,0)-1,A82),0)</f>
        <v>0</v>
      </c>
      <c r="J82" s="41" t="e">
        <f ca="1">OFFSET(Abilities!$N$1,MATCH(B82,Abilities!C:C,0)-1,-7)</f>
        <v>#N/A</v>
      </c>
      <c r="K82" s="1" t="e">
        <f ca="1">OFFSET(Abilities!$N$1,MATCH(B82,Abilities!C:C,0)-1,-12)</f>
        <v>#N/A</v>
      </c>
      <c r="L82" s="148" t="e">
        <f ca="1">OFFSET(Abilities!$N$1,MATCH(B82,Abilities!C:C,0)-1,-9)</f>
        <v>#N/A</v>
      </c>
      <c r="M82" s="147"/>
      <c r="N82" s="147"/>
      <c r="O82" s="147"/>
      <c r="P82" s="147"/>
      <c r="Q82" s="147"/>
      <c r="R82" s="147"/>
      <c r="S82" s="147"/>
      <c r="T82" s="147"/>
      <c r="U82" s="147"/>
      <c r="V82" s="147"/>
      <c r="W82" s="147"/>
      <c r="X82" s="147"/>
    </row>
    <row r="83" spans="1:24" ht="13" x14ac:dyDescent="0.15">
      <c r="A83" s="146">
        <v>2</v>
      </c>
      <c r="B83" s="149"/>
      <c r="C83" s="147"/>
      <c r="D83" s="147"/>
      <c r="E83" s="147"/>
      <c r="F83" s="147"/>
      <c r="G83" s="41">
        <f ca="1">IFERROR(OFFSET(Abilities!$N$1,MATCH(B83,Abilities!C:C,0)-1,A83),0)</f>
        <v>0</v>
      </c>
      <c r="J83" s="41" t="e">
        <f ca="1">OFFSET(Abilities!$N$1,MATCH(B83,Abilities!C:C,0)-1,-7)</f>
        <v>#N/A</v>
      </c>
      <c r="K83" s="1" t="e">
        <f ca="1">OFFSET(Abilities!$N$1,MATCH(B83,Abilities!C:C,0)-1,-12)</f>
        <v>#N/A</v>
      </c>
      <c r="L83" s="148" t="e">
        <f ca="1">OFFSET(Abilities!$N$1,MATCH(B83,Abilities!C:C,0)-1,-9)</f>
        <v>#N/A</v>
      </c>
      <c r="M83" s="147"/>
      <c r="N83" s="147"/>
      <c r="O83" s="147"/>
      <c r="P83" s="147"/>
      <c r="Q83" s="147"/>
      <c r="R83" s="147"/>
      <c r="S83" s="147"/>
      <c r="T83" s="147"/>
      <c r="U83" s="147"/>
      <c r="V83" s="147"/>
      <c r="W83" s="147"/>
      <c r="X83" s="147"/>
    </row>
    <row r="84" spans="1:24" ht="13" x14ac:dyDescent="0.15">
      <c r="A84" s="146">
        <v>1</v>
      </c>
      <c r="B84" s="149"/>
      <c r="C84" s="147"/>
      <c r="D84" s="147"/>
      <c r="E84" s="147"/>
      <c r="F84" s="147"/>
      <c r="G84" s="41">
        <f ca="1">IFERROR(OFFSET(Abilities!$N$1,MATCH(B84,Abilities!C:C,0)-1,A84),0)</f>
        <v>0</v>
      </c>
      <c r="J84" s="41" t="e">
        <f ca="1">OFFSET(Abilities!$N$1,MATCH(B84,Abilities!C:C,0)-1,-7)</f>
        <v>#N/A</v>
      </c>
      <c r="K84" s="1" t="e">
        <f ca="1">OFFSET(Abilities!$N$1,MATCH(B84,Abilities!C:C,0)-1,-12)</f>
        <v>#N/A</v>
      </c>
      <c r="L84" s="148" t="e">
        <f ca="1">OFFSET(Abilities!$N$1,MATCH(B84,Abilities!C:C,0)-1,-9)</f>
        <v>#N/A</v>
      </c>
      <c r="M84" s="147"/>
      <c r="N84" s="147"/>
      <c r="O84" s="147"/>
      <c r="P84" s="147"/>
      <c r="Q84" s="147"/>
      <c r="R84" s="147"/>
      <c r="S84" s="147"/>
      <c r="T84" s="147"/>
      <c r="U84" s="147"/>
      <c r="V84" s="147"/>
      <c r="W84" s="147"/>
      <c r="X84" s="147"/>
    </row>
    <row r="85" spans="1:24" ht="13" x14ac:dyDescent="0.15">
      <c r="A85" s="146">
        <v>1</v>
      </c>
      <c r="B85" s="149" t="s">
        <v>1019</v>
      </c>
      <c r="C85" s="147"/>
      <c r="D85" s="147"/>
      <c r="E85" s="147"/>
      <c r="F85" s="147"/>
      <c r="G85" s="41">
        <f ca="1">IFERROR(OFFSET(Abilities!$N$1,MATCH(B85,Abilities!C:C,0)-1,A85),0)</f>
        <v>5</v>
      </c>
      <c r="J85" s="41" t="str">
        <f ca="1">OFFSET(Abilities!$N$1,MATCH(B85,Abilities!C:C,0)-1,-7)</f>
        <v>3(B|G|R),(9) per</v>
      </c>
      <c r="K85" s="1" t="str">
        <f ca="1">OFFSET(Abilities!$N$1,MATCH(B85,Abilities!C:C,0)-1,-12)</f>
        <v>Passive</v>
      </c>
      <c r="L85" s="148" t="str">
        <f ca="1">OFFSET(Abilities!$N$1,MATCH(B85,Abilities!C:C,0)-1,-9)</f>
        <v>30/60/120ft darkvision</v>
      </c>
      <c r="M85" s="147"/>
      <c r="N85" s="147"/>
      <c r="O85" s="147"/>
      <c r="P85" s="147"/>
      <c r="Q85" s="147"/>
      <c r="R85" s="147"/>
      <c r="S85" s="147"/>
      <c r="T85" s="147"/>
      <c r="U85" s="147"/>
      <c r="V85" s="147"/>
      <c r="W85" s="147"/>
      <c r="X85" s="147"/>
    </row>
    <row r="86" spans="1:24" ht="13" x14ac:dyDescent="0.15">
      <c r="A86" s="146">
        <v>1</v>
      </c>
      <c r="B86" s="149"/>
      <c r="C86" s="147"/>
      <c r="D86" s="147"/>
      <c r="E86" s="147"/>
      <c r="F86" s="147"/>
      <c r="G86" s="41">
        <f ca="1">IFERROR(OFFSET(Abilities!$N$1,MATCH(B86,Abilities!C:C,0)-1,A86),0)</f>
        <v>0</v>
      </c>
      <c r="J86" s="41" t="e">
        <f ca="1">OFFSET(Abilities!$N$1,MATCH(B86,Abilities!C:C,0)-1,-7)</f>
        <v>#N/A</v>
      </c>
      <c r="K86" s="1" t="e">
        <f ca="1">OFFSET(Abilities!$N$1,MATCH(B86,Abilities!C:C,0)-1,-12)</f>
        <v>#N/A</v>
      </c>
      <c r="L86" s="148" t="e">
        <f ca="1">OFFSET(Abilities!$N$1,MATCH(B86,Abilities!C:C,0)-1,-9)</f>
        <v>#N/A</v>
      </c>
      <c r="M86" s="147"/>
      <c r="N86" s="147"/>
      <c r="O86" s="147"/>
      <c r="P86" s="147"/>
      <c r="Q86" s="147"/>
      <c r="R86" s="147"/>
      <c r="S86" s="147"/>
      <c r="T86" s="147"/>
      <c r="U86" s="147"/>
      <c r="V86" s="147"/>
      <c r="W86" s="147"/>
      <c r="X86" s="147"/>
    </row>
    <row r="87" spans="1:24" ht="13" x14ac:dyDescent="0.15">
      <c r="A87" s="146">
        <v>1</v>
      </c>
      <c r="B87" s="149" t="s">
        <v>2</v>
      </c>
      <c r="C87" s="147"/>
      <c r="D87" s="147"/>
      <c r="E87" s="147"/>
      <c r="F87" s="147"/>
      <c r="G87" s="41" t="str">
        <f ca="1">IFERROR(OFFSET(Abilities!$N$1,MATCH(B87,Abilities!C:C,0)-1,A87),0)</f>
        <v>R1</v>
      </c>
      <c r="J87" s="41" t="str">
        <f ca="1">OFFSET(Abilities!$N$1,MATCH(B87,Abilities!C:C,0)-1,-7)</f>
        <v>Affinity req</v>
      </c>
      <c r="K87" s="1" t="str">
        <f ca="1">OFFSET(Abilities!$N$1,MATCH(B87,Abilities!C:C,0)-1,-12)</f>
        <v>Category</v>
      </c>
      <c r="L87" s="148" t="str">
        <f ca="1">OFFSET(Abilities!$N$1,MATCH(B87,Abilities!C:C,0)-1,-9)</f>
        <v>Rules Text</v>
      </c>
      <c r="M87" s="147"/>
      <c r="N87" s="147"/>
      <c r="O87" s="147"/>
      <c r="P87" s="147"/>
      <c r="Q87" s="147"/>
      <c r="R87" s="147"/>
      <c r="S87" s="147"/>
      <c r="T87" s="147"/>
      <c r="U87" s="147"/>
      <c r="V87" s="147"/>
      <c r="W87" s="147"/>
      <c r="X87" s="147"/>
    </row>
    <row r="88" spans="1:24" ht="13" x14ac:dyDescent="0.15">
      <c r="A88" s="146">
        <v>1</v>
      </c>
      <c r="B88" s="149" t="s">
        <v>2</v>
      </c>
      <c r="C88" s="147"/>
      <c r="D88" s="147"/>
      <c r="E88" s="147"/>
      <c r="F88" s="147"/>
      <c r="G88" s="41" t="str">
        <f ca="1">IFERROR(OFFSET(Abilities!$N$1,MATCH(B88,Abilities!C:C,0)-1,A88),0)</f>
        <v>R1</v>
      </c>
      <c r="J88" s="41" t="str">
        <f ca="1">OFFSET(Abilities!$N$1,MATCH(B88,Abilities!C:C,0)-1,-7)</f>
        <v>Affinity req</v>
      </c>
      <c r="K88" s="1" t="str">
        <f ca="1">OFFSET(Abilities!$N$1,MATCH(B88,Abilities!C:C,0)-1,-12)</f>
        <v>Category</v>
      </c>
      <c r="L88" s="148" t="str">
        <f ca="1">OFFSET(Abilities!$N$1,MATCH(B88,Abilities!C:C,0)-1,-9)</f>
        <v>Rules Text</v>
      </c>
      <c r="M88" s="147"/>
      <c r="N88" s="147"/>
      <c r="O88" s="147"/>
      <c r="P88" s="147"/>
      <c r="Q88" s="147"/>
      <c r="R88" s="147"/>
      <c r="S88" s="147"/>
      <c r="T88" s="147"/>
      <c r="U88" s="147"/>
      <c r="V88" s="147"/>
      <c r="W88" s="147"/>
      <c r="X88" s="147"/>
    </row>
    <row r="89" spans="1:24" ht="13" x14ac:dyDescent="0.15">
      <c r="A89" s="146">
        <v>1</v>
      </c>
      <c r="B89" s="149" t="s">
        <v>2</v>
      </c>
      <c r="C89" s="147"/>
      <c r="D89" s="147"/>
      <c r="E89" s="147"/>
      <c r="F89" s="147"/>
      <c r="G89" s="41" t="str">
        <f ca="1">IFERROR(OFFSET(Abilities!$N$1,MATCH(B89,Abilities!C:C,0)-1,A89),0)</f>
        <v>R1</v>
      </c>
      <c r="J89" s="41" t="str">
        <f ca="1">OFFSET(Abilities!$N$1,MATCH(B89,Abilities!C:C,0)-1,-7)</f>
        <v>Affinity req</v>
      </c>
      <c r="K89" s="1" t="str">
        <f ca="1">OFFSET(Abilities!$N$1,MATCH(B89,Abilities!C:C,0)-1,-12)</f>
        <v>Category</v>
      </c>
      <c r="L89" s="148" t="str">
        <f ca="1">OFFSET(Abilities!$N$1,MATCH(B89,Abilities!C:C,0)-1,-9)</f>
        <v>Rules Text</v>
      </c>
      <c r="M89" s="147"/>
      <c r="N89" s="147"/>
      <c r="O89" s="147"/>
      <c r="P89" s="147"/>
      <c r="Q89" s="147"/>
      <c r="R89" s="147"/>
      <c r="S89" s="147"/>
      <c r="T89" s="147"/>
      <c r="U89" s="147"/>
      <c r="V89" s="147"/>
      <c r="W89" s="147"/>
      <c r="X89" s="147"/>
    </row>
    <row r="90" spans="1:24" ht="13" x14ac:dyDescent="0.15">
      <c r="A90" s="146">
        <v>1</v>
      </c>
      <c r="B90" s="149" t="s">
        <v>2</v>
      </c>
      <c r="C90" s="147"/>
      <c r="D90" s="147"/>
      <c r="E90" s="147"/>
      <c r="F90" s="147"/>
      <c r="G90" s="41" t="str">
        <f ca="1">IFERROR(OFFSET(Abilities!$N$1,MATCH(B90,Abilities!C:C,0)-1,A90),0)</f>
        <v>R1</v>
      </c>
      <c r="J90" s="41" t="str">
        <f ca="1">OFFSET(Abilities!$N$1,MATCH(B90,Abilities!C:C,0)-1,-7)</f>
        <v>Affinity req</v>
      </c>
      <c r="K90" s="1" t="str">
        <f ca="1">OFFSET(Abilities!$N$1,MATCH(B90,Abilities!C:C,0)-1,-12)</f>
        <v>Category</v>
      </c>
      <c r="L90" s="148" t="str">
        <f ca="1">OFFSET(Abilities!$N$1,MATCH(B90,Abilities!C:C,0)-1,-9)</f>
        <v>Rules Text</v>
      </c>
      <c r="M90" s="147"/>
      <c r="N90" s="147"/>
      <c r="O90" s="147"/>
      <c r="P90" s="147"/>
      <c r="Q90" s="147"/>
      <c r="R90" s="147"/>
      <c r="S90" s="147"/>
      <c r="T90" s="147"/>
      <c r="U90" s="147"/>
      <c r="V90" s="147"/>
      <c r="W90" s="147"/>
      <c r="X90" s="147"/>
    </row>
    <row r="91" spans="1:24" ht="13" x14ac:dyDescent="0.15">
      <c r="A91" s="146">
        <v>1</v>
      </c>
      <c r="B91" s="149" t="s">
        <v>2</v>
      </c>
      <c r="C91" s="147"/>
      <c r="D91" s="147"/>
      <c r="E91" s="147"/>
      <c r="F91" s="147"/>
      <c r="G91" s="41" t="str">
        <f ca="1">IFERROR(OFFSET(Abilities!$N$1,MATCH(B91,Abilities!C:C,0)-1,A91),0)</f>
        <v>R1</v>
      </c>
      <c r="J91" s="41" t="str">
        <f ca="1">OFFSET(Abilities!$N$1,MATCH(B91,Abilities!C:C,0)-1,-7)</f>
        <v>Affinity req</v>
      </c>
      <c r="K91" s="1" t="str">
        <f ca="1">OFFSET(Abilities!$N$1,MATCH(B91,Abilities!C:C,0)-1,-12)</f>
        <v>Category</v>
      </c>
      <c r="L91" s="148" t="str">
        <f ca="1">OFFSET(Abilities!$N$1,MATCH(B91,Abilities!C:C,0)-1,-9)</f>
        <v>Rules Text</v>
      </c>
      <c r="M91" s="147"/>
      <c r="N91" s="147"/>
      <c r="O91" s="147"/>
      <c r="P91" s="147"/>
      <c r="Q91" s="147"/>
      <c r="R91" s="147"/>
      <c r="S91" s="147"/>
      <c r="T91" s="147"/>
      <c r="U91" s="147"/>
      <c r="V91" s="147"/>
      <c r="W91" s="147"/>
      <c r="X91" s="147"/>
    </row>
    <row r="92" spans="1:24" ht="13" x14ac:dyDescent="0.15">
      <c r="A92" s="146">
        <v>1</v>
      </c>
      <c r="B92" s="149" t="s">
        <v>2</v>
      </c>
      <c r="C92" s="147"/>
      <c r="D92" s="147"/>
      <c r="E92" s="147"/>
      <c r="F92" s="147"/>
      <c r="G92" s="41" t="str">
        <f ca="1">IFERROR(OFFSET(Abilities!$N$1,MATCH(B92,Abilities!C:C,0)-1,A92),0)</f>
        <v>R1</v>
      </c>
      <c r="J92" s="41" t="str">
        <f ca="1">OFFSET(Abilities!$N$1,MATCH(B92,Abilities!C:C,0)-1,-7)</f>
        <v>Affinity req</v>
      </c>
      <c r="K92" s="1" t="str">
        <f ca="1">OFFSET(Abilities!$N$1,MATCH(B92,Abilities!C:C,0)-1,-12)</f>
        <v>Category</v>
      </c>
      <c r="L92" s="148" t="str">
        <f ca="1">OFFSET(Abilities!$N$1,MATCH(B92,Abilities!C:C,0)-1,-9)</f>
        <v>Rules Text</v>
      </c>
      <c r="M92" s="147"/>
      <c r="N92" s="147"/>
      <c r="O92" s="147"/>
      <c r="P92" s="147"/>
      <c r="Q92" s="147"/>
      <c r="R92" s="147"/>
      <c r="S92" s="147"/>
      <c r="T92" s="147"/>
      <c r="U92" s="147"/>
      <c r="V92" s="147"/>
      <c r="W92" s="147"/>
      <c r="X92" s="147"/>
    </row>
    <row r="93" spans="1:24" ht="13" x14ac:dyDescent="0.15">
      <c r="A93" s="146">
        <v>1</v>
      </c>
      <c r="B93" s="149" t="s">
        <v>2</v>
      </c>
      <c r="C93" s="147"/>
      <c r="D93" s="147"/>
      <c r="E93" s="147"/>
      <c r="F93" s="147"/>
      <c r="G93" s="41" t="str">
        <f ca="1">IFERROR(OFFSET(Abilities!$N$1,MATCH(B93,Abilities!C:C,0)-1,A93),0)</f>
        <v>R1</v>
      </c>
      <c r="J93" s="41" t="str">
        <f ca="1">OFFSET(Abilities!$N$1,MATCH(B93,Abilities!C:C,0)-1,-7)</f>
        <v>Affinity req</v>
      </c>
      <c r="K93" s="1" t="str">
        <f ca="1">OFFSET(Abilities!$N$1,MATCH(B93,Abilities!C:C,0)-1,-12)</f>
        <v>Category</v>
      </c>
      <c r="L93" s="148" t="str">
        <f ca="1">OFFSET(Abilities!$N$1,MATCH(B93,Abilities!C:C,0)-1,-9)</f>
        <v>Rules Text</v>
      </c>
      <c r="M93" s="147"/>
      <c r="N93" s="147"/>
      <c r="O93" s="147"/>
      <c r="P93" s="147"/>
      <c r="Q93" s="147"/>
      <c r="R93" s="147"/>
      <c r="S93" s="147"/>
      <c r="T93" s="147"/>
      <c r="U93" s="147"/>
      <c r="V93" s="147"/>
      <c r="W93" s="147"/>
      <c r="X93" s="147"/>
    </row>
    <row r="94" spans="1:24" ht="13" x14ac:dyDescent="0.15">
      <c r="A94" s="146">
        <v>1</v>
      </c>
      <c r="B94" s="149" t="s">
        <v>2</v>
      </c>
      <c r="C94" s="147"/>
      <c r="D94" s="147"/>
      <c r="E94" s="147"/>
      <c r="F94" s="147"/>
      <c r="G94" s="41" t="str">
        <f ca="1">IFERROR(OFFSET(Abilities!$N$1,MATCH(B94,Abilities!C:C,0)-1,A94),0)</f>
        <v>R1</v>
      </c>
      <c r="J94" s="41" t="str">
        <f ca="1">OFFSET(Abilities!$N$1,MATCH(B94,Abilities!C:C,0)-1,-7)</f>
        <v>Affinity req</v>
      </c>
      <c r="K94" s="1" t="str">
        <f ca="1">OFFSET(Abilities!$N$1,MATCH(B94,Abilities!C:C,0)-1,-12)</f>
        <v>Category</v>
      </c>
      <c r="L94" s="148" t="str">
        <f ca="1">OFFSET(Abilities!$N$1,MATCH(B94,Abilities!C:C,0)-1,-9)</f>
        <v>Rules Text</v>
      </c>
      <c r="M94" s="147"/>
      <c r="N94" s="147"/>
      <c r="O94" s="147"/>
      <c r="P94" s="147"/>
      <c r="Q94" s="147"/>
      <c r="R94" s="147"/>
      <c r="S94" s="147"/>
      <c r="T94" s="147"/>
      <c r="U94" s="147"/>
      <c r="V94" s="147"/>
      <c r="W94" s="147"/>
      <c r="X94" s="147"/>
    </row>
    <row r="95" spans="1:24" ht="13" x14ac:dyDescent="0.15">
      <c r="A95" s="146">
        <v>1</v>
      </c>
      <c r="B95" s="149" t="s">
        <v>2</v>
      </c>
      <c r="C95" s="147"/>
      <c r="D95" s="147"/>
      <c r="E95" s="147"/>
      <c r="F95" s="147"/>
      <c r="G95" s="41" t="str">
        <f ca="1">IFERROR(OFFSET(Abilities!$N$1,MATCH(B95,Abilities!C:C,0)-1,A95),0)</f>
        <v>R1</v>
      </c>
      <c r="J95" s="41" t="str">
        <f ca="1">OFFSET(Abilities!$N$1,MATCH(B95,Abilities!C:C,0)-1,-7)</f>
        <v>Affinity req</v>
      </c>
      <c r="K95" s="1" t="str">
        <f ca="1">OFFSET(Abilities!$N$1,MATCH(B95,Abilities!C:C,0)-1,-12)</f>
        <v>Category</v>
      </c>
      <c r="L95" s="148" t="str">
        <f ca="1">OFFSET(Abilities!$N$1,MATCH(B95,Abilities!C:C,0)-1,-9)</f>
        <v>Rules Text</v>
      </c>
      <c r="M95" s="147"/>
      <c r="N95" s="147"/>
      <c r="O95" s="147"/>
      <c r="P95" s="147"/>
      <c r="Q95" s="147"/>
      <c r="R95" s="147"/>
      <c r="S95" s="147"/>
      <c r="T95" s="147"/>
      <c r="U95" s="147"/>
      <c r="V95" s="147"/>
      <c r="W95" s="147"/>
      <c r="X95" s="147"/>
    </row>
    <row r="96" spans="1:24" ht="13" x14ac:dyDescent="0.15">
      <c r="A96" s="146">
        <v>1</v>
      </c>
      <c r="B96" s="149" t="s">
        <v>2</v>
      </c>
      <c r="C96" s="147"/>
      <c r="D96" s="147"/>
      <c r="E96" s="147"/>
      <c r="F96" s="147"/>
      <c r="G96" s="41" t="str">
        <f ca="1">IFERROR(OFFSET(Abilities!$N$1,MATCH(B96,Abilities!C:C,0)-1,A96),0)</f>
        <v>R1</v>
      </c>
      <c r="J96" s="41" t="str">
        <f ca="1">OFFSET(Abilities!$N$1,MATCH(B96,Abilities!C:C,0)-1,-7)</f>
        <v>Affinity req</v>
      </c>
      <c r="K96" s="1" t="str">
        <f ca="1">OFFSET(Abilities!$N$1,MATCH(B96,Abilities!C:C,0)-1,-12)</f>
        <v>Category</v>
      </c>
      <c r="L96" s="148" t="str">
        <f ca="1">OFFSET(Abilities!$N$1,MATCH(B96,Abilities!C:C,0)-1,-9)</f>
        <v>Rules Text</v>
      </c>
      <c r="M96" s="147"/>
      <c r="N96" s="147"/>
      <c r="O96" s="147"/>
      <c r="P96" s="147"/>
      <c r="Q96" s="147"/>
      <c r="R96" s="147"/>
      <c r="S96" s="147"/>
      <c r="T96" s="147"/>
      <c r="U96" s="147"/>
      <c r="V96" s="147"/>
      <c r="W96" s="147"/>
      <c r="X96" s="147"/>
    </row>
    <row r="97" spans="1:24" ht="13" x14ac:dyDescent="0.15">
      <c r="A97" s="146">
        <v>1</v>
      </c>
      <c r="B97" s="149" t="s">
        <v>2</v>
      </c>
      <c r="C97" s="147"/>
      <c r="D97" s="147"/>
      <c r="E97" s="147"/>
      <c r="F97" s="147"/>
      <c r="G97" s="41" t="str">
        <f ca="1">IFERROR(OFFSET(Abilities!$N$1,MATCH(B97,Abilities!C:C,0)-1,A97),0)</f>
        <v>R1</v>
      </c>
      <c r="J97" s="41" t="str">
        <f ca="1">OFFSET(Abilities!$N$1,MATCH(B97,Abilities!C:C,0)-1,-7)</f>
        <v>Affinity req</v>
      </c>
      <c r="K97" s="1" t="str">
        <f ca="1">OFFSET(Abilities!$N$1,MATCH(B97,Abilities!C:C,0)-1,-12)</f>
        <v>Category</v>
      </c>
      <c r="L97" s="148" t="str">
        <f ca="1">OFFSET(Abilities!$N$1,MATCH(B97,Abilities!C:C,0)-1,-9)</f>
        <v>Rules Text</v>
      </c>
      <c r="M97" s="147"/>
      <c r="N97" s="147"/>
      <c r="O97" s="147"/>
      <c r="P97" s="147"/>
      <c r="Q97" s="147"/>
      <c r="R97" s="147"/>
      <c r="S97" s="147"/>
      <c r="T97" s="147"/>
      <c r="U97" s="147"/>
      <c r="V97" s="147"/>
      <c r="W97" s="147"/>
      <c r="X97" s="147"/>
    </row>
    <row r="98" spans="1:24" ht="13" x14ac:dyDescent="0.15">
      <c r="A98" s="146">
        <v>1</v>
      </c>
      <c r="B98" s="149" t="s">
        <v>2</v>
      </c>
      <c r="C98" s="147"/>
      <c r="D98" s="147"/>
      <c r="E98" s="147"/>
      <c r="F98" s="147"/>
      <c r="G98" s="41" t="str">
        <f ca="1">IFERROR(OFFSET(Abilities!$N$1,MATCH(B98,Abilities!C:C,0)-1,A98),0)</f>
        <v>R1</v>
      </c>
      <c r="J98" s="41" t="str">
        <f ca="1">OFFSET(Abilities!$N$1,MATCH(B98,Abilities!C:C,0)-1,-7)</f>
        <v>Affinity req</v>
      </c>
      <c r="K98" s="1" t="str">
        <f ca="1">OFFSET(Abilities!$N$1,MATCH(B98,Abilities!C:C,0)-1,-12)</f>
        <v>Category</v>
      </c>
      <c r="L98" s="148" t="str">
        <f ca="1">OFFSET(Abilities!$N$1,MATCH(B98,Abilities!C:C,0)-1,-9)</f>
        <v>Rules Text</v>
      </c>
      <c r="M98" s="147"/>
      <c r="N98" s="147"/>
      <c r="O98" s="147"/>
      <c r="P98" s="147"/>
      <c r="Q98" s="147"/>
      <c r="R98" s="147"/>
      <c r="S98" s="147"/>
      <c r="T98" s="147"/>
      <c r="U98" s="147"/>
      <c r="V98" s="147"/>
      <c r="W98" s="147"/>
      <c r="X98" s="147"/>
    </row>
    <row r="99" spans="1:24" ht="13" x14ac:dyDescent="0.15">
      <c r="A99" s="146">
        <v>1</v>
      </c>
      <c r="B99" s="149" t="s">
        <v>2</v>
      </c>
      <c r="C99" s="147"/>
      <c r="D99" s="147"/>
      <c r="E99" s="147"/>
      <c r="F99" s="147"/>
      <c r="G99" s="41" t="str">
        <f ca="1">IFERROR(OFFSET(Abilities!$N$1,MATCH(B99,Abilities!C:C,0)-1,A99),0)</f>
        <v>R1</v>
      </c>
      <c r="J99" s="41" t="str">
        <f ca="1">OFFSET(Abilities!$N$1,MATCH(B99,Abilities!C:C,0)-1,-7)</f>
        <v>Affinity req</v>
      </c>
      <c r="K99" s="1" t="str">
        <f ca="1">OFFSET(Abilities!$N$1,MATCH(B99,Abilities!C:C,0)-1,-12)</f>
        <v>Category</v>
      </c>
      <c r="L99" s="148" t="str">
        <f ca="1">OFFSET(Abilities!$N$1,MATCH(B99,Abilities!C:C,0)-1,-9)</f>
        <v>Rules Text</v>
      </c>
      <c r="M99" s="147"/>
      <c r="N99" s="147"/>
      <c r="O99" s="147"/>
      <c r="P99" s="147"/>
      <c r="Q99" s="147"/>
      <c r="R99" s="147"/>
      <c r="S99" s="147"/>
      <c r="T99" s="147"/>
      <c r="U99" s="147"/>
      <c r="V99" s="147"/>
      <c r="W99" s="147"/>
      <c r="X99" s="147"/>
    </row>
    <row r="100" spans="1:24" ht="13" x14ac:dyDescent="0.15">
      <c r="A100" s="146">
        <v>1</v>
      </c>
      <c r="B100" s="149" t="s">
        <v>2</v>
      </c>
      <c r="C100" s="147"/>
      <c r="D100" s="147"/>
      <c r="E100" s="147"/>
      <c r="F100" s="147"/>
      <c r="G100" s="41" t="str">
        <f ca="1">IFERROR(OFFSET(Abilities!$N$1,MATCH(B100,Abilities!C:C,0)-1,A100),0)</f>
        <v>R1</v>
      </c>
      <c r="J100" s="41" t="str">
        <f ca="1">OFFSET(Abilities!$N$1,MATCH(B100,Abilities!C:C,0)-1,-7)</f>
        <v>Affinity req</v>
      </c>
      <c r="K100" s="1" t="str">
        <f ca="1">OFFSET(Abilities!$N$1,MATCH(B100,Abilities!C:C,0)-1,-12)</f>
        <v>Category</v>
      </c>
      <c r="L100" s="148" t="str">
        <f ca="1">OFFSET(Abilities!$N$1,MATCH(B100,Abilities!C:C,0)-1,-9)</f>
        <v>Rules Text</v>
      </c>
      <c r="M100" s="147"/>
      <c r="N100" s="147"/>
      <c r="O100" s="147"/>
      <c r="P100" s="147"/>
      <c r="Q100" s="147"/>
      <c r="R100" s="147"/>
      <c r="S100" s="147"/>
      <c r="T100" s="147"/>
      <c r="U100" s="147"/>
      <c r="V100" s="147"/>
      <c r="W100" s="147"/>
      <c r="X100" s="147"/>
    </row>
    <row r="101" spans="1:24" ht="13" x14ac:dyDescent="0.15">
      <c r="A101" s="146">
        <v>1</v>
      </c>
      <c r="B101" s="149" t="s">
        <v>2</v>
      </c>
      <c r="C101" s="147"/>
      <c r="D101" s="147"/>
      <c r="E101" s="147"/>
      <c r="F101" s="147"/>
      <c r="G101" s="41" t="str">
        <f ca="1">IFERROR(OFFSET(Abilities!$N$1,MATCH(B101,Abilities!C:C,0)-1,A101),0)</f>
        <v>R1</v>
      </c>
      <c r="J101" s="41" t="str">
        <f ca="1">OFFSET(Abilities!$N$1,MATCH(B101,Abilities!C:C,0)-1,-7)</f>
        <v>Affinity req</v>
      </c>
      <c r="K101" s="1" t="str">
        <f ca="1">OFFSET(Abilities!$N$1,MATCH(B101,Abilities!C:C,0)-1,-12)</f>
        <v>Category</v>
      </c>
      <c r="L101" s="148" t="str">
        <f ca="1">OFFSET(Abilities!$N$1,MATCH(B101,Abilities!C:C,0)-1,-9)</f>
        <v>Rules Text</v>
      </c>
      <c r="M101" s="147"/>
      <c r="N101" s="147"/>
      <c r="O101" s="147"/>
      <c r="P101" s="147"/>
      <c r="Q101" s="147"/>
      <c r="R101" s="147"/>
      <c r="S101" s="147"/>
      <c r="T101" s="147"/>
      <c r="U101" s="147"/>
      <c r="V101" s="147"/>
      <c r="W101" s="147"/>
      <c r="X101" s="147"/>
    </row>
    <row r="102" spans="1:24" ht="13" x14ac:dyDescent="0.15">
      <c r="A102" s="146">
        <v>1</v>
      </c>
      <c r="B102" s="149" t="s">
        <v>2</v>
      </c>
      <c r="C102" s="147"/>
      <c r="D102" s="147"/>
      <c r="E102" s="147"/>
      <c r="F102" s="147"/>
      <c r="G102" s="41" t="str">
        <f ca="1">IFERROR(OFFSET(Abilities!$N$1,MATCH(B102,Abilities!C:C,0)-1,A102),0)</f>
        <v>R1</v>
      </c>
      <c r="J102" s="41" t="str">
        <f ca="1">OFFSET(Abilities!$N$1,MATCH(B102,Abilities!C:C,0)-1,-7)</f>
        <v>Affinity req</v>
      </c>
      <c r="K102" s="1" t="str">
        <f ca="1">OFFSET(Abilities!$N$1,MATCH(B102,Abilities!C:C,0)-1,-12)</f>
        <v>Category</v>
      </c>
      <c r="L102" s="148" t="str">
        <f ca="1">OFFSET(Abilities!$N$1,MATCH(B102,Abilities!C:C,0)-1,-9)</f>
        <v>Rules Text</v>
      </c>
      <c r="M102" s="147"/>
      <c r="N102" s="147"/>
      <c r="O102" s="147"/>
      <c r="P102" s="147"/>
      <c r="Q102" s="147"/>
      <c r="R102" s="147"/>
      <c r="S102" s="147"/>
      <c r="T102" s="147"/>
      <c r="U102" s="147"/>
      <c r="V102" s="147"/>
      <c r="W102" s="147"/>
      <c r="X102" s="147"/>
    </row>
    <row r="103" spans="1:24" ht="13" x14ac:dyDescent="0.15">
      <c r="A103" s="146">
        <v>1</v>
      </c>
      <c r="B103" s="149" t="s">
        <v>2</v>
      </c>
      <c r="C103" s="147"/>
      <c r="D103" s="147"/>
      <c r="E103" s="147"/>
      <c r="F103" s="147"/>
      <c r="G103" s="41" t="str">
        <f ca="1">IFERROR(OFFSET(Abilities!$N$1,MATCH(B103,Abilities!C:C,0)-1,A103),0)</f>
        <v>R1</v>
      </c>
      <c r="J103" s="41" t="str">
        <f ca="1">OFFSET(Abilities!$N$1,MATCH(B103,Abilities!C:C,0)-1,-7)</f>
        <v>Affinity req</v>
      </c>
      <c r="K103" s="1" t="str">
        <f ca="1">OFFSET(Abilities!$N$1,MATCH(B103,Abilities!C:C,0)-1,-12)</f>
        <v>Category</v>
      </c>
      <c r="L103" s="148" t="str">
        <f ca="1">OFFSET(Abilities!$N$1,MATCH(B103,Abilities!C:C,0)-1,-9)</f>
        <v>Rules Text</v>
      </c>
      <c r="M103" s="147"/>
      <c r="N103" s="147"/>
      <c r="O103" s="147"/>
      <c r="P103" s="147"/>
      <c r="Q103" s="147"/>
      <c r="R103" s="147"/>
      <c r="S103" s="147"/>
      <c r="T103" s="147"/>
      <c r="U103" s="147"/>
      <c r="V103" s="147"/>
      <c r="W103" s="147"/>
      <c r="X103" s="147"/>
    </row>
    <row r="104" spans="1:24" ht="13" x14ac:dyDescent="0.15">
      <c r="A104" s="146">
        <v>1</v>
      </c>
      <c r="B104" s="149" t="s">
        <v>2</v>
      </c>
      <c r="C104" s="147"/>
      <c r="D104" s="147"/>
      <c r="E104" s="147"/>
      <c r="F104" s="147"/>
      <c r="G104" s="41" t="str">
        <f ca="1">IFERROR(OFFSET(Abilities!$N$1,MATCH(B104,Abilities!C:C,0)-1,A104),0)</f>
        <v>R1</v>
      </c>
      <c r="J104" s="41" t="str">
        <f ca="1">OFFSET(Abilities!$N$1,MATCH(B104,Abilities!C:C,0)-1,-7)</f>
        <v>Affinity req</v>
      </c>
      <c r="K104" s="1" t="str">
        <f ca="1">OFFSET(Abilities!$N$1,MATCH(B104,Abilities!C:C,0)-1,-12)</f>
        <v>Category</v>
      </c>
      <c r="L104" s="148" t="str">
        <f ca="1">OFFSET(Abilities!$N$1,MATCH(B104,Abilities!C:C,0)-1,-9)</f>
        <v>Rules Text</v>
      </c>
      <c r="M104" s="147"/>
      <c r="N104" s="147"/>
      <c r="O104" s="147"/>
      <c r="P104" s="147"/>
      <c r="Q104" s="147"/>
      <c r="R104" s="147"/>
      <c r="S104" s="147"/>
      <c r="T104" s="147"/>
      <c r="U104" s="147"/>
      <c r="V104" s="147"/>
      <c r="W104" s="147"/>
      <c r="X104" s="147"/>
    </row>
    <row r="105" spans="1:24" ht="13" x14ac:dyDescent="0.15">
      <c r="A105" s="146">
        <v>1</v>
      </c>
      <c r="B105" s="149" t="s">
        <v>2</v>
      </c>
      <c r="C105" s="147"/>
      <c r="D105" s="147"/>
      <c r="E105" s="147"/>
      <c r="F105" s="147"/>
      <c r="G105" s="41" t="str">
        <f ca="1">IFERROR(OFFSET(Abilities!$N$1,MATCH(B105,Abilities!C:C,0)-1,A105),0)</f>
        <v>R1</v>
      </c>
      <c r="J105" s="41" t="str">
        <f ca="1">OFFSET(Abilities!$N$1,MATCH(B105,Abilities!C:C,0)-1,-7)</f>
        <v>Affinity req</v>
      </c>
      <c r="K105" s="1" t="str">
        <f ca="1">OFFSET(Abilities!$N$1,MATCH(B105,Abilities!C:C,0)-1,-12)</f>
        <v>Category</v>
      </c>
      <c r="L105" s="148" t="str">
        <f ca="1">OFFSET(Abilities!$N$1,MATCH(B105,Abilities!C:C,0)-1,-9)</f>
        <v>Rules Text</v>
      </c>
      <c r="M105" s="147"/>
      <c r="N105" s="147"/>
      <c r="O105" s="147"/>
      <c r="P105" s="147"/>
      <c r="Q105" s="147"/>
      <c r="R105" s="147"/>
      <c r="S105" s="147"/>
      <c r="T105" s="147"/>
      <c r="U105" s="147"/>
      <c r="V105" s="147"/>
      <c r="W105" s="147"/>
      <c r="X105" s="147"/>
    </row>
    <row r="106" spans="1:24" ht="13" x14ac:dyDescent="0.15">
      <c r="A106" s="146">
        <v>1</v>
      </c>
      <c r="B106" s="149" t="s">
        <v>2</v>
      </c>
      <c r="C106" s="147"/>
      <c r="D106" s="147"/>
      <c r="E106" s="147"/>
      <c r="F106" s="147"/>
      <c r="G106" s="41" t="str">
        <f ca="1">IFERROR(OFFSET(Abilities!$N$1,MATCH(B106,Abilities!C:C,0)-1,A106),0)</f>
        <v>R1</v>
      </c>
      <c r="J106" s="41" t="str">
        <f ca="1">OFFSET(Abilities!$N$1,MATCH(B106,Abilities!C:C,0)-1,-7)</f>
        <v>Affinity req</v>
      </c>
      <c r="K106" s="1" t="str">
        <f ca="1">OFFSET(Abilities!$N$1,MATCH(B106,Abilities!C:C,0)-1,-12)</f>
        <v>Category</v>
      </c>
      <c r="L106" s="148" t="str">
        <f ca="1">OFFSET(Abilities!$N$1,MATCH(B106,Abilities!C:C,0)-1,-9)</f>
        <v>Rules Text</v>
      </c>
      <c r="M106" s="147"/>
      <c r="N106" s="147"/>
      <c r="O106" s="147"/>
      <c r="P106" s="147"/>
      <c r="Q106" s="147"/>
      <c r="R106" s="147"/>
      <c r="S106" s="147"/>
      <c r="T106" s="147"/>
      <c r="U106" s="147"/>
      <c r="V106" s="147"/>
      <c r="W106" s="147"/>
      <c r="X106" s="147"/>
    </row>
    <row r="107" spans="1:24" ht="13" x14ac:dyDescent="0.15">
      <c r="A107" s="146">
        <v>1</v>
      </c>
      <c r="B107" s="149" t="s">
        <v>2</v>
      </c>
      <c r="C107" s="147"/>
      <c r="D107" s="147"/>
      <c r="E107" s="147"/>
      <c r="F107" s="147"/>
      <c r="G107" s="41" t="str">
        <f ca="1">IFERROR(OFFSET(Abilities!$N$1,MATCH(B107,Abilities!C:C,0)-1,A107),0)</f>
        <v>R1</v>
      </c>
      <c r="J107" s="41" t="str">
        <f ca="1">OFFSET(Abilities!$N$1,MATCH(B107,Abilities!C:C,0)-1,-7)</f>
        <v>Affinity req</v>
      </c>
      <c r="K107" s="1" t="str">
        <f ca="1">OFFSET(Abilities!$N$1,MATCH(B107,Abilities!C:C,0)-1,-12)</f>
        <v>Category</v>
      </c>
      <c r="L107" s="148" t="str">
        <f ca="1">OFFSET(Abilities!$N$1,MATCH(B107,Abilities!C:C,0)-1,-9)</f>
        <v>Rules Text</v>
      </c>
      <c r="M107" s="147"/>
      <c r="N107" s="147"/>
      <c r="O107" s="147"/>
      <c r="P107" s="147"/>
      <c r="Q107" s="147"/>
      <c r="R107" s="147"/>
      <c r="S107" s="147"/>
      <c r="T107" s="147"/>
      <c r="U107" s="147"/>
      <c r="V107" s="147"/>
      <c r="W107" s="147"/>
      <c r="X107" s="147"/>
    </row>
    <row r="108" spans="1:24" ht="13" x14ac:dyDescent="0.15">
      <c r="A108" s="146">
        <v>1</v>
      </c>
      <c r="B108" s="149" t="s">
        <v>2</v>
      </c>
      <c r="C108" s="147"/>
      <c r="D108" s="147"/>
      <c r="E108" s="147"/>
      <c r="F108" s="147"/>
      <c r="G108" s="41" t="str">
        <f ca="1">IFERROR(OFFSET(Abilities!$N$1,MATCH(B108,Abilities!C:C,0)-1,A108),0)</f>
        <v>R1</v>
      </c>
      <c r="J108" s="41" t="str">
        <f ca="1">OFFSET(Abilities!$N$1,MATCH(B108,Abilities!C:C,0)-1,-7)</f>
        <v>Affinity req</v>
      </c>
      <c r="K108" s="1" t="str">
        <f ca="1">OFFSET(Abilities!$N$1,MATCH(B108,Abilities!C:C,0)-1,-12)</f>
        <v>Category</v>
      </c>
      <c r="L108" s="148" t="str">
        <f ca="1">OFFSET(Abilities!$N$1,MATCH(B108,Abilities!C:C,0)-1,-9)</f>
        <v>Rules Text</v>
      </c>
      <c r="M108" s="147"/>
      <c r="N108" s="147"/>
      <c r="O108" s="147"/>
      <c r="P108" s="147"/>
      <c r="Q108" s="147"/>
      <c r="R108" s="147"/>
      <c r="S108" s="147"/>
      <c r="T108" s="147"/>
      <c r="U108" s="147"/>
      <c r="V108" s="147"/>
      <c r="W108" s="147"/>
      <c r="X108" s="147"/>
    </row>
    <row r="109" spans="1:24" ht="13" x14ac:dyDescent="0.15">
      <c r="A109" s="146">
        <v>1</v>
      </c>
      <c r="B109" s="149" t="s">
        <v>2</v>
      </c>
      <c r="C109" s="147"/>
      <c r="D109" s="147"/>
      <c r="E109" s="147"/>
      <c r="F109" s="147"/>
      <c r="G109" s="41" t="str">
        <f ca="1">IFERROR(OFFSET(Abilities!$N$1,MATCH(B109,Abilities!C:C,0)-1,A109),0)</f>
        <v>R1</v>
      </c>
      <c r="J109" s="41" t="str">
        <f ca="1">OFFSET(Abilities!$N$1,MATCH(B109,Abilities!C:C,0)-1,-7)</f>
        <v>Affinity req</v>
      </c>
      <c r="K109" s="1" t="str">
        <f ca="1">OFFSET(Abilities!$N$1,MATCH(B109,Abilities!C:C,0)-1,-12)</f>
        <v>Category</v>
      </c>
      <c r="L109" s="148" t="str">
        <f ca="1">OFFSET(Abilities!$N$1,MATCH(B109,Abilities!C:C,0)-1,-9)</f>
        <v>Rules Text</v>
      </c>
      <c r="M109" s="147"/>
      <c r="N109" s="147"/>
      <c r="O109" s="147"/>
      <c r="P109" s="147"/>
      <c r="Q109" s="147"/>
      <c r="R109" s="147"/>
      <c r="S109" s="147"/>
      <c r="T109" s="147"/>
      <c r="U109" s="147"/>
      <c r="V109" s="147"/>
      <c r="W109" s="147"/>
      <c r="X109" s="147"/>
    </row>
    <row r="110" spans="1:24" ht="13" x14ac:dyDescent="0.15">
      <c r="A110" s="146">
        <v>1</v>
      </c>
      <c r="B110" s="149" t="s">
        <v>2</v>
      </c>
      <c r="C110" s="147"/>
      <c r="D110" s="147"/>
      <c r="E110" s="147"/>
      <c r="F110" s="147"/>
      <c r="G110" s="41" t="str">
        <f ca="1">IFERROR(OFFSET(Abilities!$N$1,MATCH(B110,Abilities!C:C,0)-1,A110),0)</f>
        <v>R1</v>
      </c>
      <c r="J110" s="41" t="str">
        <f ca="1">OFFSET(Abilities!$N$1,MATCH(B110,Abilities!C:C,0)-1,-7)</f>
        <v>Affinity req</v>
      </c>
      <c r="K110" s="1" t="str">
        <f ca="1">OFFSET(Abilities!$N$1,MATCH(B110,Abilities!C:C,0)-1,-12)</f>
        <v>Category</v>
      </c>
      <c r="L110" s="148" t="str">
        <f ca="1">OFFSET(Abilities!$N$1,MATCH(B110,Abilities!C:C,0)-1,-9)</f>
        <v>Rules Text</v>
      </c>
      <c r="M110" s="147"/>
      <c r="N110" s="147"/>
      <c r="O110" s="147"/>
      <c r="P110" s="147"/>
      <c r="Q110" s="147"/>
      <c r="R110" s="147"/>
      <c r="S110" s="147"/>
      <c r="T110" s="147"/>
      <c r="U110" s="147"/>
      <c r="V110" s="147"/>
      <c r="W110" s="147"/>
      <c r="X110" s="147"/>
    </row>
    <row r="111" spans="1:24" ht="13" x14ac:dyDescent="0.15">
      <c r="A111" s="146">
        <v>1</v>
      </c>
      <c r="B111" s="149" t="s">
        <v>2</v>
      </c>
      <c r="C111" s="147"/>
      <c r="D111" s="147"/>
      <c r="E111" s="147"/>
      <c r="F111" s="147"/>
      <c r="G111" s="41" t="str">
        <f ca="1">IFERROR(OFFSET(Abilities!$N$1,MATCH(B111,Abilities!C:C,0)-1,A111),0)</f>
        <v>R1</v>
      </c>
      <c r="J111" s="41" t="str">
        <f ca="1">OFFSET(Abilities!$N$1,MATCH(B111,Abilities!C:C,0)-1,-7)</f>
        <v>Affinity req</v>
      </c>
      <c r="K111" s="1" t="str">
        <f ca="1">OFFSET(Abilities!$N$1,MATCH(B111,Abilities!C:C,0)-1,-12)</f>
        <v>Category</v>
      </c>
      <c r="L111" s="148" t="str">
        <f ca="1">OFFSET(Abilities!$N$1,MATCH(B111,Abilities!C:C,0)-1,-9)</f>
        <v>Rules Text</v>
      </c>
      <c r="M111" s="147"/>
      <c r="N111" s="147"/>
      <c r="O111" s="147"/>
      <c r="P111" s="147"/>
      <c r="Q111" s="147"/>
      <c r="R111" s="147"/>
      <c r="S111" s="147"/>
      <c r="T111" s="147"/>
      <c r="U111" s="147"/>
      <c r="V111" s="147"/>
      <c r="W111" s="147"/>
      <c r="X111" s="147"/>
    </row>
    <row r="112" spans="1:24" ht="13" x14ac:dyDescent="0.15">
      <c r="A112" s="146">
        <v>1</v>
      </c>
      <c r="B112" s="149" t="s">
        <v>2</v>
      </c>
      <c r="C112" s="147"/>
      <c r="D112" s="147"/>
      <c r="E112" s="147"/>
      <c r="F112" s="147"/>
      <c r="G112" s="41" t="str">
        <f ca="1">IFERROR(OFFSET(Abilities!$N$1,MATCH(B112,Abilities!C:C,0)-1,A112),0)</f>
        <v>R1</v>
      </c>
      <c r="J112" s="41" t="str">
        <f ca="1">OFFSET(Abilities!$N$1,MATCH(B112,Abilities!C:C,0)-1,-7)</f>
        <v>Affinity req</v>
      </c>
      <c r="K112" s="1" t="str">
        <f ca="1">OFFSET(Abilities!$N$1,MATCH(B112,Abilities!C:C,0)-1,-12)</f>
        <v>Category</v>
      </c>
      <c r="L112" s="148" t="str">
        <f ca="1">OFFSET(Abilities!$N$1,MATCH(B112,Abilities!C:C,0)-1,-9)</f>
        <v>Rules Text</v>
      </c>
      <c r="M112" s="147"/>
      <c r="N112" s="147"/>
      <c r="O112" s="147"/>
      <c r="P112" s="147"/>
      <c r="Q112" s="147"/>
      <c r="R112" s="147"/>
      <c r="S112" s="147"/>
      <c r="T112" s="147"/>
      <c r="U112" s="147"/>
      <c r="V112" s="147"/>
      <c r="W112" s="147"/>
      <c r="X112" s="147"/>
    </row>
    <row r="113" spans="1:24" ht="13" x14ac:dyDescent="0.15">
      <c r="A113" s="146">
        <v>1</v>
      </c>
      <c r="B113" s="149" t="s">
        <v>2</v>
      </c>
      <c r="C113" s="147"/>
      <c r="D113" s="147"/>
      <c r="E113" s="147"/>
      <c r="F113" s="147"/>
      <c r="G113" s="41" t="str">
        <f ca="1">IFERROR(OFFSET(Abilities!$N$1,MATCH(B113,Abilities!C:C,0)-1,A113),0)</f>
        <v>R1</v>
      </c>
      <c r="J113" s="41" t="str">
        <f ca="1">OFFSET(Abilities!$N$1,MATCH(B113,Abilities!C:C,0)-1,-7)</f>
        <v>Affinity req</v>
      </c>
      <c r="K113" s="1" t="str">
        <f ca="1">OFFSET(Abilities!$N$1,MATCH(B113,Abilities!C:C,0)-1,-12)</f>
        <v>Category</v>
      </c>
      <c r="L113" s="148" t="str">
        <f ca="1">OFFSET(Abilities!$N$1,MATCH(B113,Abilities!C:C,0)-1,-9)</f>
        <v>Rules Text</v>
      </c>
      <c r="M113" s="147"/>
      <c r="N113" s="147"/>
      <c r="O113" s="147"/>
      <c r="P113" s="147"/>
      <c r="Q113" s="147"/>
      <c r="R113" s="147"/>
      <c r="S113" s="147"/>
      <c r="T113" s="147"/>
      <c r="U113" s="147"/>
      <c r="V113" s="147"/>
      <c r="W113" s="147"/>
      <c r="X113" s="147"/>
    </row>
    <row r="114" spans="1:24" ht="13" x14ac:dyDescent="0.15">
      <c r="A114" s="146">
        <v>1</v>
      </c>
      <c r="B114" s="149" t="s">
        <v>2</v>
      </c>
      <c r="C114" s="147"/>
      <c r="D114" s="147"/>
      <c r="E114" s="147"/>
      <c r="F114" s="147"/>
      <c r="G114" s="41" t="str">
        <f ca="1">IFERROR(OFFSET(Abilities!$N$1,MATCH(B114,Abilities!C:C,0)-1,A114),0)</f>
        <v>R1</v>
      </c>
      <c r="J114" s="41" t="str">
        <f ca="1">OFFSET(Abilities!$N$1,MATCH(B114,Abilities!C:C,0)-1,-7)</f>
        <v>Affinity req</v>
      </c>
      <c r="K114" s="1" t="str">
        <f ca="1">OFFSET(Abilities!$N$1,MATCH(B114,Abilities!C:C,0)-1,-12)</f>
        <v>Category</v>
      </c>
      <c r="L114" s="148" t="str">
        <f ca="1">OFFSET(Abilities!$N$1,MATCH(B114,Abilities!C:C,0)-1,-9)</f>
        <v>Rules Text</v>
      </c>
      <c r="M114" s="147"/>
      <c r="N114" s="147"/>
      <c r="O114" s="147"/>
      <c r="P114" s="147"/>
      <c r="Q114" s="147"/>
      <c r="R114" s="147"/>
      <c r="S114" s="147"/>
      <c r="T114" s="147"/>
      <c r="U114" s="147"/>
      <c r="V114" s="147"/>
      <c r="W114" s="147"/>
      <c r="X114" s="147"/>
    </row>
    <row r="115" spans="1:24" ht="13" x14ac:dyDescent="0.15">
      <c r="A115" s="146">
        <v>1</v>
      </c>
      <c r="B115" s="149" t="s">
        <v>2</v>
      </c>
      <c r="C115" s="147"/>
      <c r="D115" s="147"/>
      <c r="E115" s="147"/>
      <c r="F115" s="147"/>
      <c r="G115" s="41" t="str">
        <f ca="1">IFERROR(OFFSET(Abilities!$N$1,MATCH(B115,Abilities!C:C,0)-1,A115),0)</f>
        <v>R1</v>
      </c>
      <c r="J115" s="41" t="str">
        <f ca="1">OFFSET(Abilities!$N$1,MATCH(B115,Abilities!C:C,0)-1,-7)</f>
        <v>Affinity req</v>
      </c>
      <c r="K115" s="1" t="str">
        <f ca="1">OFFSET(Abilities!$N$1,MATCH(B115,Abilities!C:C,0)-1,-12)</f>
        <v>Category</v>
      </c>
      <c r="L115" s="148" t="str">
        <f ca="1">OFFSET(Abilities!$N$1,MATCH(B115,Abilities!C:C,0)-1,-9)</f>
        <v>Rules Text</v>
      </c>
      <c r="M115" s="147"/>
      <c r="N115" s="147"/>
      <c r="O115" s="147"/>
      <c r="P115" s="147"/>
      <c r="Q115" s="147"/>
      <c r="R115" s="147"/>
      <c r="S115" s="147"/>
      <c r="T115" s="147"/>
      <c r="U115" s="147"/>
      <c r="V115" s="147"/>
      <c r="W115" s="147"/>
      <c r="X115" s="147"/>
    </row>
    <row r="116" spans="1:24" ht="13" x14ac:dyDescent="0.15">
      <c r="A116" s="146">
        <v>1</v>
      </c>
      <c r="B116" s="149" t="s">
        <v>2</v>
      </c>
      <c r="C116" s="147"/>
      <c r="D116" s="147"/>
      <c r="E116" s="147"/>
      <c r="F116" s="147"/>
      <c r="G116" s="41" t="str">
        <f ca="1">IFERROR(OFFSET(Abilities!$N$1,MATCH(B116,Abilities!C:C,0)-1,A116),0)</f>
        <v>R1</v>
      </c>
      <c r="J116" s="41" t="str">
        <f ca="1">OFFSET(Abilities!$N$1,MATCH(B116,Abilities!C:C,0)-1,-7)</f>
        <v>Affinity req</v>
      </c>
      <c r="K116" s="1" t="str">
        <f ca="1">OFFSET(Abilities!$N$1,MATCH(B116,Abilities!C:C,0)-1,-12)</f>
        <v>Category</v>
      </c>
      <c r="L116" s="148" t="str">
        <f ca="1">OFFSET(Abilities!$N$1,MATCH(B116,Abilities!C:C,0)-1,-9)</f>
        <v>Rules Text</v>
      </c>
      <c r="M116" s="147"/>
      <c r="N116" s="147"/>
      <c r="O116" s="147"/>
      <c r="P116" s="147"/>
      <c r="Q116" s="147"/>
      <c r="R116" s="147"/>
      <c r="S116" s="147"/>
      <c r="T116" s="147"/>
      <c r="U116" s="147"/>
      <c r="V116" s="147"/>
      <c r="W116" s="147"/>
      <c r="X116" s="147"/>
    </row>
    <row r="117" spans="1:24" ht="13" x14ac:dyDescent="0.15">
      <c r="A117" s="146">
        <v>1</v>
      </c>
      <c r="B117" s="149" t="s">
        <v>2</v>
      </c>
      <c r="C117" s="147"/>
      <c r="D117" s="147"/>
      <c r="E117" s="147"/>
      <c r="F117" s="147"/>
      <c r="G117" s="41" t="str">
        <f ca="1">IFERROR(OFFSET(Abilities!$N$1,MATCH(B117,Abilities!C:C,0)-1,A117),0)</f>
        <v>R1</v>
      </c>
      <c r="J117" s="41" t="str">
        <f ca="1">OFFSET(Abilities!$N$1,MATCH(B117,Abilities!C:C,0)-1,-7)</f>
        <v>Affinity req</v>
      </c>
      <c r="K117" s="1" t="str">
        <f ca="1">OFFSET(Abilities!$N$1,MATCH(B117,Abilities!C:C,0)-1,-12)</f>
        <v>Category</v>
      </c>
      <c r="L117" s="148" t="str">
        <f ca="1">OFFSET(Abilities!$N$1,MATCH(B117,Abilities!C:C,0)-1,-9)</f>
        <v>Rules Text</v>
      </c>
      <c r="M117" s="147"/>
      <c r="N117" s="147"/>
      <c r="O117" s="147"/>
      <c r="P117" s="147"/>
      <c r="Q117" s="147"/>
      <c r="R117" s="147"/>
      <c r="S117" s="147"/>
      <c r="T117" s="147"/>
      <c r="U117" s="147"/>
      <c r="V117" s="147"/>
      <c r="W117" s="147"/>
      <c r="X117" s="147"/>
    </row>
    <row r="118" spans="1:24" ht="13" x14ac:dyDescent="0.15">
      <c r="A118" s="146">
        <v>1</v>
      </c>
      <c r="B118" s="149" t="s">
        <v>2</v>
      </c>
      <c r="C118" s="147"/>
      <c r="D118" s="147"/>
      <c r="E118" s="147"/>
      <c r="F118" s="147"/>
      <c r="G118" s="41" t="str">
        <f ca="1">IFERROR(OFFSET(Abilities!$N$1,MATCH(B118,Abilities!C:C,0)-1,A118),0)</f>
        <v>R1</v>
      </c>
      <c r="J118" s="41" t="str">
        <f ca="1">OFFSET(Abilities!$N$1,MATCH(B118,Abilities!C:C,0)-1,-7)</f>
        <v>Affinity req</v>
      </c>
      <c r="K118" s="1" t="str">
        <f ca="1">OFFSET(Abilities!$N$1,MATCH(B118,Abilities!C:C,0)-1,-12)</f>
        <v>Category</v>
      </c>
      <c r="L118" s="148" t="str">
        <f ca="1">OFFSET(Abilities!$N$1,MATCH(B118,Abilities!C:C,0)-1,-9)</f>
        <v>Rules Text</v>
      </c>
      <c r="M118" s="147"/>
      <c r="N118" s="147"/>
      <c r="O118" s="147"/>
      <c r="P118" s="147"/>
      <c r="Q118" s="147"/>
      <c r="R118" s="147"/>
      <c r="S118" s="147"/>
      <c r="T118" s="147"/>
      <c r="U118" s="147"/>
      <c r="V118" s="147"/>
      <c r="W118" s="147"/>
      <c r="X118" s="147"/>
    </row>
    <row r="119" spans="1:24" ht="13" x14ac:dyDescent="0.15">
      <c r="A119" s="146">
        <v>1</v>
      </c>
      <c r="B119" s="149" t="s">
        <v>2</v>
      </c>
      <c r="C119" s="147"/>
      <c r="D119" s="147"/>
      <c r="E119" s="147"/>
      <c r="F119" s="147"/>
      <c r="G119" s="41" t="str">
        <f ca="1">IFERROR(OFFSET(Abilities!$N$1,MATCH(B119,Abilities!C:C,0)-1,A119),0)</f>
        <v>R1</v>
      </c>
      <c r="J119" s="41" t="str">
        <f ca="1">OFFSET(Abilities!$N$1,MATCH(B119,Abilities!C:C,0)-1,-7)</f>
        <v>Affinity req</v>
      </c>
      <c r="K119" s="1" t="str">
        <f ca="1">OFFSET(Abilities!$N$1,MATCH(B119,Abilities!C:C,0)-1,-12)</f>
        <v>Category</v>
      </c>
      <c r="L119" s="148" t="str">
        <f ca="1">OFFSET(Abilities!$N$1,MATCH(B119,Abilities!C:C,0)-1,-9)</f>
        <v>Rules Text</v>
      </c>
      <c r="M119" s="147"/>
      <c r="N119" s="147"/>
      <c r="O119" s="147"/>
      <c r="P119" s="147"/>
      <c r="Q119" s="147"/>
      <c r="R119" s="147"/>
      <c r="S119" s="147"/>
      <c r="T119" s="147"/>
      <c r="U119" s="147"/>
      <c r="V119" s="147"/>
      <c r="W119" s="147"/>
      <c r="X119" s="147"/>
    </row>
    <row r="120" spans="1:24" ht="13" x14ac:dyDescent="0.15">
      <c r="A120" s="146">
        <v>1</v>
      </c>
      <c r="B120" s="149" t="s">
        <v>2</v>
      </c>
      <c r="C120" s="147"/>
      <c r="D120" s="147"/>
      <c r="E120" s="147"/>
      <c r="F120" s="147"/>
      <c r="G120" s="41" t="str">
        <f ca="1">IFERROR(OFFSET(Abilities!$N$1,MATCH(B120,Abilities!C:C,0)-1,A120),0)</f>
        <v>R1</v>
      </c>
      <c r="J120" s="41" t="str">
        <f ca="1">OFFSET(Abilities!$N$1,MATCH(B120,Abilities!C:C,0)-1,-7)</f>
        <v>Affinity req</v>
      </c>
      <c r="K120" s="1" t="str">
        <f ca="1">OFFSET(Abilities!$N$1,MATCH(B120,Abilities!C:C,0)-1,-12)</f>
        <v>Category</v>
      </c>
      <c r="L120" s="148" t="str">
        <f ca="1">OFFSET(Abilities!$N$1,MATCH(B120,Abilities!C:C,0)-1,-9)</f>
        <v>Rules Text</v>
      </c>
      <c r="M120" s="147"/>
      <c r="N120" s="147"/>
      <c r="O120" s="147"/>
      <c r="P120" s="147"/>
      <c r="Q120" s="147"/>
      <c r="R120" s="147"/>
      <c r="S120" s="147"/>
      <c r="T120" s="147"/>
      <c r="U120" s="147"/>
      <c r="V120" s="147"/>
      <c r="W120" s="147"/>
      <c r="X120" s="147"/>
    </row>
    <row r="121" spans="1:24" ht="13" x14ac:dyDescent="0.15">
      <c r="A121" s="146">
        <v>1</v>
      </c>
      <c r="B121" s="149" t="s">
        <v>2</v>
      </c>
      <c r="C121" s="147"/>
      <c r="D121" s="147"/>
      <c r="E121" s="147"/>
      <c r="F121" s="147"/>
      <c r="G121" s="41" t="str">
        <f ca="1">IFERROR(OFFSET(Abilities!$N$1,MATCH(B121,Abilities!C:C,0)-1,A121),0)</f>
        <v>R1</v>
      </c>
      <c r="J121" s="41" t="str">
        <f ca="1">OFFSET(Abilities!$N$1,MATCH(B121,Abilities!C:C,0)-1,-7)</f>
        <v>Affinity req</v>
      </c>
      <c r="K121" s="1" t="str">
        <f ca="1">OFFSET(Abilities!$N$1,MATCH(B121,Abilities!C:C,0)-1,-12)</f>
        <v>Category</v>
      </c>
      <c r="L121" s="148" t="str">
        <f ca="1">OFFSET(Abilities!$N$1,MATCH(B121,Abilities!C:C,0)-1,-9)</f>
        <v>Rules Text</v>
      </c>
      <c r="M121" s="147"/>
      <c r="N121" s="147"/>
      <c r="O121" s="147"/>
      <c r="P121" s="147"/>
      <c r="Q121" s="147"/>
      <c r="R121" s="147"/>
      <c r="S121" s="147"/>
      <c r="T121" s="147"/>
      <c r="U121" s="147"/>
      <c r="V121" s="147"/>
      <c r="W121" s="147"/>
      <c r="X121" s="147"/>
    </row>
    <row r="122" spans="1:24" ht="13" x14ac:dyDescent="0.15">
      <c r="A122" s="146">
        <v>1</v>
      </c>
      <c r="B122" s="149" t="s">
        <v>2</v>
      </c>
      <c r="C122" s="147"/>
      <c r="D122" s="147"/>
      <c r="E122" s="147"/>
      <c r="F122" s="147"/>
      <c r="G122" s="41" t="str">
        <f ca="1">IFERROR(OFFSET(Abilities!$N$1,MATCH(B122,Abilities!C:C,0)-1,A122),0)</f>
        <v>R1</v>
      </c>
      <c r="J122" s="41" t="str">
        <f ca="1">OFFSET(Abilities!$N$1,MATCH(B122,Abilities!C:C,0)-1,-7)</f>
        <v>Affinity req</v>
      </c>
      <c r="K122" s="1" t="str">
        <f ca="1">OFFSET(Abilities!$N$1,MATCH(B122,Abilities!C:C,0)-1,-12)</f>
        <v>Category</v>
      </c>
      <c r="L122" s="148" t="str">
        <f ca="1">OFFSET(Abilities!$N$1,MATCH(B122,Abilities!C:C,0)-1,-9)</f>
        <v>Rules Text</v>
      </c>
      <c r="M122" s="147"/>
      <c r="N122" s="147"/>
      <c r="O122" s="147"/>
      <c r="P122" s="147"/>
      <c r="Q122" s="147"/>
      <c r="R122" s="147"/>
      <c r="S122" s="147"/>
      <c r="T122" s="147"/>
      <c r="U122" s="147"/>
      <c r="V122" s="147"/>
      <c r="W122" s="147"/>
      <c r="X122" s="147"/>
    </row>
    <row r="123" spans="1:24" ht="13" x14ac:dyDescent="0.15">
      <c r="A123" s="146">
        <v>1</v>
      </c>
      <c r="B123" s="149" t="s">
        <v>2</v>
      </c>
      <c r="C123" s="147"/>
      <c r="D123" s="147"/>
      <c r="E123" s="147"/>
      <c r="F123" s="147"/>
      <c r="G123" s="41" t="str">
        <f ca="1">IFERROR(OFFSET(Abilities!$N$1,MATCH(B123,Abilities!C:C,0)-1,A123),0)</f>
        <v>R1</v>
      </c>
      <c r="J123" s="41" t="str">
        <f ca="1">OFFSET(Abilities!$N$1,MATCH(B123,Abilities!C:C,0)-1,-7)</f>
        <v>Affinity req</v>
      </c>
      <c r="K123" s="1" t="str">
        <f ca="1">OFFSET(Abilities!$N$1,MATCH(B123,Abilities!C:C,0)-1,-12)</f>
        <v>Category</v>
      </c>
      <c r="L123" s="148" t="str">
        <f ca="1">OFFSET(Abilities!$N$1,MATCH(B123,Abilities!C:C,0)-1,-9)</f>
        <v>Rules Text</v>
      </c>
      <c r="M123" s="147"/>
      <c r="N123" s="147"/>
      <c r="O123" s="147"/>
      <c r="P123" s="147"/>
      <c r="Q123" s="147"/>
      <c r="R123" s="147"/>
      <c r="S123" s="147"/>
      <c r="T123" s="147"/>
      <c r="U123" s="147"/>
      <c r="V123" s="147"/>
      <c r="W123" s="147"/>
      <c r="X123" s="147"/>
    </row>
    <row r="124" spans="1:24" ht="13" x14ac:dyDescent="0.15">
      <c r="A124" s="146">
        <v>1</v>
      </c>
      <c r="B124" s="149" t="s">
        <v>2</v>
      </c>
      <c r="C124" s="147"/>
      <c r="D124" s="147"/>
      <c r="E124" s="147"/>
      <c r="F124" s="147"/>
      <c r="G124" s="41" t="str">
        <f ca="1">IFERROR(OFFSET(Abilities!$N$1,MATCH(B124,Abilities!C:C,0)-1,A124),0)</f>
        <v>R1</v>
      </c>
      <c r="J124" s="41" t="str">
        <f ca="1">OFFSET(Abilities!$N$1,MATCH(B124,Abilities!C:C,0)-1,-7)</f>
        <v>Affinity req</v>
      </c>
      <c r="K124" s="1" t="str">
        <f ca="1">OFFSET(Abilities!$N$1,MATCH(B124,Abilities!C:C,0)-1,-12)</f>
        <v>Category</v>
      </c>
      <c r="L124" s="148" t="str">
        <f ca="1">OFFSET(Abilities!$N$1,MATCH(B124,Abilities!C:C,0)-1,-9)</f>
        <v>Rules Text</v>
      </c>
      <c r="M124" s="147"/>
      <c r="N124" s="147"/>
      <c r="O124" s="147"/>
      <c r="P124" s="147"/>
      <c r="Q124" s="147"/>
      <c r="R124" s="147"/>
      <c r="S124" s="147"/>
      <c r="T124" s="147"/>
      <c r="U124" s="147"/>
      <c r="V124" s="147"/>
      <c r="W124" s="147"/>
      <c r="X124" s="147"/>
    </row>
    <row r="125" spans="1:24" ht="13" x14ac:dyDescent="0.15">
      <c r="A125" s="146">
        <v>1</v>
      </c>
      <c r="B125" s="149" t="s">
        <v>2</v>
      </c>
      <c r="C125" s="147"/>
      <c r="D125" s="147"/>
      <c r="E125" s="147"/>
      <c r="F125" s="147"/>
      <c r="G125" s="41" t="str">
        <f ca="1">IFERROR(OFFSET(Abilities!$N$1,MATCH(B125,Abilities!C:C,0)-1,A125),0)</f>
        <v>R1</v>
      </c>
      <c r="J125" s="41" t="str">
        <f ca="1">OFFSET(Abilities!$N$1,MATCH(B125,Abilities!C:C,0)-1,-7)</f>
        <v>Affinity req</v>
      </c>
      <c r="K125" s="1" t="str">
        <f ca="1">OFFSET(Abilities!$N$1,MATCH(B125,Abilities!C:C,0)-1,-12)</f>
        <v>Category</v>
      </c>
      <c r="L125" s="148" t="str">
        <f ca="1">OFFSET(Abilities!$N$1,MATCH(B125,Abilities!C:C,0)-1,-9)</f>
        <v>Rules Text</v>
      </c>
      <c r="M125" s="147"/>
      <c r="N125" s="147"/>
      <c r="O125" s="147"/>
      <c r="P125" s="147"/>
      <c r="Q125" s="147"/>
      <c r="R125" s="147"/>
      <c r="S125" s="147"/>
      <c r="T125" s="147"/>
      <c r="U125" s="147"/>
      <c r="V125" s="147"/>
      <c r="W125" s="147"/>
      <c r="X125" s="147"/>
    </row>
  </sheetData>
  <mergeCells count="175">
    <mergeCell ref="L118:X118"/>
    <mergeCell ref="L119:X119"/>
    <mergeCell ref="B114:F114"/>
    <mergeCell ref="B115:F115"/>
    <mergeCell ref="B116:F116"/>
    <mergeCell ref="B117:F117"/>
    <mergeCell ref="L117:X117"/>
    <mergeCell ref="B118:F118"/>
    <mergeCell ref="B119:F119"/>
    <mergeCell ref="L115:X115"/>
    <mergeCell ref="L116:X116"/>
    <mergeCell ref="B111:F111"/>
    <mergeCell ref="L111:X111"/>
    <mergeCell ref="B112:F112"/>
    <mergeCell ref="L112:X112"/>
    <mergeCell ref="B113:F113"/>
    <mergeCell ref="L113:X113"/>
    <mergeCell ref="L114:X114"/>
    <mergeCell ref="L109:X109"/>
    <mergeCell ref="L110:X110"/>
    <mergeCell ref="B105:F105"/>
    <mergeCell ref="B106:F106"/>
    <mergeCell ref="B107:F107"/>
    <mergeCell ref="B108:F108"/>
    <mergeCell ref="L108:X108"/>
    <mergeCell ref="B109:F109"/>
    <mergeCell ref="B110:F110"/>
    <mergeCell ref="L106:X106"/>
    <mergeCell ref="L107:X107"/>
    <mergeCell ref="B102:F102"/>
    <mergeCell ref="L102:X102"/>
    <mergeCell ref="B103:F103"/>
    <mergeCell ref="L103:X103"/>
    <mergeCell ref="B104:F104"/>
    <mergeCell ref="L104:X104"/>
    <mergeCell ref="L105:X105"/>
    <mergeCell ref="B95:F95"/>
    <mergeCell ref="L95:X95"/>
    <mergeCell ref="L96:X96"/>
    <mergeCell ref="L100:X100"/>
    <mergeCell ref="L101:X101"/>
    <mergeCell ref="B96:F96"/>
    <mergeCell ref="B97:F97"/>
    <mergeCell ref="B98:F98"/>
    <mergeCell ref="B99:F99"/>
    <mergeCell ref="L99:X99"/>
    <mergeCell ref="B100:F100"/>
    <mergeCell ref="B101:F101"/>
    <mergeCell ref="L53:X53"/>
    <mergeCell ref="B53:F53"/>
    <mergeCell ref="B54:F54"/>
    <mergeCell ref="B55:F55"/>
    <mergeCell ref="B56:F56"/>
    <mergeCell ref="B57:F57"/>
    <mergeCell ref="B58:F58"/>
    <mergeCell ref="B59:F59"/>
    <mergeCell ref="B123:F123"/>
    <mergeCell ref="L91:X91"/>
    <mergeCell ref="L92:X92"/>
    <mergeCell ref="B87:F87"/>
    <mergeCell ref="B88:F88"/>
    <mergeCell ref="B89:F89"/>
    <mergeCell ref="B90:F90"/>
    <mergeCell ref="L90:X90"/>
    <mergeCell ref="B91:F91"/>
    <mergeCell ref="B92:F92"/>
    <mergeCell ref="L97:X97"/>
    <mergeCell ref="L98:X98"/>
    <mergeCell ref="B93:F93"/>
    <mergeCell ref="L93:X93"/>
    <mergeCell ref="B94:F94"/>
    <mergeCell ref="L94:X94"/>
    <mergeCell ref="B48:F48"/>
    <mergeCell ref="B49:F49"/>
    <mergeCell ref="B50:F50"/>
    <mergeCell ref="B51:F51"/>
    <mergeCell ref="B52:F52"/>
    <mergeCell ref="L47:X47"/>
    <mergeCell ref="L48:X48"/>
    <mergeCell ref="L49:X49"/>
    <mergeCell ref="L50:X50"/>
    <mergeCell ref="L51:X51"/>
    <mergeCell ref="L52:X52"/>
    <mergeCell ref="B43:F43"/>
    <mergeCell ref="L43:X43"/>
    <mergeCell ref="B44:F44"/>
    <mergeCell ref="L44:X44"/>
    <mergeCell ref="B45:F45"/>
    <mergeCell ref="L45:X45"/>
    <mergeCell ref="L46:X46"/>
    <mergeCell ref="B46:F46"/>
    <mergeCell ref="B47:F47"/>
    <mergeCell ref="L41:X41"/>
    <mergeCell ref="L42:X42"/>
    <mergeCell ref="Q1:X9"/>
    <mergeCell ref="Q11:X19"/>
    <mergeCell ref="Q21:X29"/>
    <mergeCell ref="Q31:X39"/>
    <mergeCell ref="B40:F40"/>
    <mergeCell ref="B41:F41"/>
    <mergeCell ref="B42:F42"/>
    <mergeCell ref="L124:X124"/>
    <mergeCell ref="L125:X125"/>
    <mergeCell ref="B120:F120"/>
    <mergeCell ref="L120:X120"/>
    <mergeCell ref="B121:F121"/>
    <mergeCell ref="L121:X121"/>
    <mergeCell ref="B122:F122"/>
    <mergeCell ref="L122:X122"/>
    <mergeCell ref="L123:X123"/>
    <mergeCell ref="B124:F124"/>
    <mergeCell ref="B125:F125"/>
    <mergeCell ref="L88:X88"/>
    <mergeCell ref="L89:X89"/>
    <mergeCell ref="B84:F84"/>
    <mergeCell ref="L84:X84"/>
    <mergeCell ref="B85:F85"/>
    <mergeCell ref="L85:X85"/>
    <mergeCell ref="B86:F86"/>
    <mergeCell ref="L86:X86"/>
    <mergeCell ref="L87:X87"/>
    <mergeCell ref="L82:X82"/>
    <mergeCell ref="L83:X83"/>
    <mergeCell ref="B78:F78"/>
    <mergeCell ref="B79:F79"/>
    <mergeCell ref="B80:F80"/>
    <mergeCell ref="B81:F81"/>
    <mergeCell ref="L81:X81"/>
    <mergeCell ref="B82:F82"/>
    <mergeCell ref="B83:F83"/>
    <mergeCell ref="L79:X79"/>
    <mergeCell ref="L80:X80"/>
    <mergeCell ref="B75:F75"/>
    <mergeCell ref="L75:X75"/>
    <mergeCell ref="B76:F76"/>
    <mergeCell ref="L76:X76"/>
    <mergeCell ref="B77:F77"/>
    <mergeCell ref="L77:X77"/>
    <mergeCell ref="L78:X78"/>
    <mergeCell ref="L73:X73"/>
    <mergeCell ref="L74:X74"/>
    <mergeCell ref="B69:F69"/>
    <mergeCell ref="B70:F70"/>
    <mergeCell ref="B71:F71"/>
    <mergeCell ref="B72:F72"/>
    <mergeCell ref="L72:X72"/>
    <mergeCell ref="B73:F73"/>
    <mergeCell ref="B74:F74"/>
    <mergeCell ref="L70:X70"/>
    <mergeCell ref="L71:X71"/>
    <mergeCell ref="B66:F66"/>
    <mergeCell ref="L66:X66"/>
    <mergeCell ref="B67:F67"/>
    <mergeCell ref="L67:X67"/>
    <mergeCell ref="B68:F68"/>
    <mergeCell ref="L68:X68"/>
    <mergeCell ref="L69:X69"/>
    <mergeCell ref="L64:X64"/>
    <mergeCell ref="L65:X65"/>
    <mergeCell ref="B60:F60"/>
    <mergeCell ref="B61:F61"/>
    <mergeCell ref="B62:F62"/>
    <mergeCell ref="B63:F63"/>
    <mergeCell ref="L63:X63"/>
    <mergeCell ref="B64:F64"/>
    <mergeCell ref="B65:F65"/>
    <mergeCell ref="L61:X61"/>
    <mergeCell ref="L62:X62"/>
    <mergeCell ref="L54:X54"/>
    <mergeCell ref="L55:X55"/>
    <mergeCell ref="L56:X56"/>
    <mergeCell ref="L57:X57"/>
    <mergeCell ref="L58:X58"/>
    <mergeCell ref="L59:X59"/>
    <mergeCell ref="L60:X60"/>
  </mergeCells>
  <conditionalFormatting sqref="B14:B18">
    <cfRule type="expression" dxfId="7" priority="6">
      <formula>SUM($B$14:$B$18)&gt;3*$B$13</formula>
    </cfRule>
  </conditionalFormatting>
  <conditionalFormatting sqref="B20">
    <cfRule type="expression" dxfId="6" priority="5">
      <formula>B20&gt;(B21*1.1)</formula>
    </cfRule>
    <cfRule type="expression" dxfId="5" priority="7">
      <formula>B20&gt;B21</formula>
    </cfRule>
  </conditionalFormatting>
  <conditionalFormatting sqref="G3:G6">
    <cfRule type="expression" dxfId="4" priority="1">
      <formula>$G$2&gt;0</formula>
    </cfRule>
  </conditionalFormatting>
  <conditionalFormatting sqref="G8:G11">
    <cfRule type="expression" dxfId="3" priority="2">
      <formula>$G$7&gt;0</formula>
    </cfRule>
  </conditionalFormatting>
  <conditionalFormatting sqref="G13:G16">
    <cfRule type="expression" dxfId="2" priority="3">
      <formula>$G$12&gt;0</formula>
    </cfRule>
  </conditionalFormatting>
  <conditionalFormatting sqref="G18:G21">
    <cfRule type="expression" dxfId="1" priority="4">
      <formula>$G$17&gt;0</formula>
    </cfRule>
  </conditionalFormatting>
  <conditionalFormatting sqref="N14">
    <cfRule type="expression" dxfId="0" priority="8">
      <formula>$N$34=0</formula>
    </cfRule>
  </conditionalFormatting>
  <dataValidations count="10">
    <dataValidation type="list" allowBlank="1" showErrorMessage="1" sqref="J28:J36" xr:uid="{00000000-0002-0000-3400-000000000000}">
      <formula1>"L,I"</formula1>
    </dataValidation>
    <dataValidation type="list" allowBlank="1" sqref="L11" xr:uid="{00000000-0002-0000-3400-000001000000}">
      <formula1>"Light Armor,Normal Armor"</formula1>
    </dataValidation>
    <dataValidation type="list" allowBlank="1" showErrorMessage="1" sqref="N27" xr:uid="{00000000-0002-0000-3400-000002000000}">
      <formula1>"1,2,3"</formula1>
    </dataValidation>
    <dataValidation type="list" allowBlank="1" sqref="O33" xr:uid="{00000000-0002-0000-3400-000003000000}">
      <formula1>"None,Fire,Cold,Dark,Radiant,Lightning,Acid"</formula1>
    </dataValidation>
    <dataValidation type="decimal" allowBlank="1" showDropDown="1" showErrorMessage="1" sqref="G2:G36" xr:uid="{00000000-0002-0000-3400-000004000000}">
      <formula1>0</formula1>
      <formula2>10</formula2>
    </dataValidation>
    <dataValidation type="decimal" allowBlank="1" showDropDown="1" showErrorMessage="1" sqref="B14:B18" xr:uid="{00000000-0002-0000-3400-000006000000}">
      <formula1>0</formula1>
      <formula2>30</formula2>
    </dataValidation>
    <dataValidation type="list" allowBlank="1" showErrorMessage="1" sqref="M18:O18" xr:uid="{00000000-0002-0000-3400-000008000000}">
      <formula1>"Melee,Ranged"</formula1>
    </dataValidation>
    <dataValidation type="decimal" allowBlank="1" showDropDown="1" showErrorMessage="1" sqref="B2:B10 B13 A41:A125" xr:uid="{00000000-0002-0000-3400-000009000000}">
      <formula1>1</formula1>
      <formula2>10</formula2>
    </dataValidation>
    <dataValidation type="list" allowBlank="1" showErrorMessage="1" sqref="M20:O20" xr:uid="{00000000-0002-0000-3400-00000A000000}">
      <formula1>"Light,1H,2H"</formula1>
    </dataValidation>
    <dataValidation type="list" allowBlank="1" showErrorMessage="1" sqref="M25:O25" xr:uid="{00000000-0002-0000-3400-00000B000000}">
      <formula1>$C$32:$C$36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3400-000005000000}">
          <x14:formula1>
            <xm:f>'Iobia*'!#REF!</xm:f>
          </x14:formula1>
          <xm:sqref>B11</xm:sqref>
        </x14:dataValidation>
        <x14:dataValidation type="list" allowBlank="1" showErrorMessage="1" xr:uid="{00000000-0002-0000-3400-000007000000}">
          <x14:formula1>
            <xm:f>Abilities!$C:$C</xm:f>
          </x14:formula1>
          <xm:sqref>B41:B125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Abilities</vt:lpstr>
      <vt:lpstr>NCT</vt:lpstr>
      <vt:lpstr>Iobia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Dimitri Dolgov</cp:lastModifiedBy>
  <dcterms:modified xsi:type="dcterms:W3CDTF">2026-01-22T20:54:10Z</dcterms:modified>
</cp:coreProperties>
</file>